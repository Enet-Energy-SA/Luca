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bellomi\PycharmProjects\pythonProject\Trader\"/>
    </mc:Choice>
  </mc:AlternateContent>
  <xr:revisionPtr revIDLastSave="0" documentId="13_ncr:1_{6FA61627-67F1-48A3-BC2C-7015F016AAF3}" xr6:coauthVersionLast="47" xr6:coauthVersionMax="47" xr10:uidLastSave="{00000000-0000-0000-0000-000000000000}"/>
  <bookViews>
    <workbookView xWindow="36105" yWindow="2070" windowWidth="38835" windowHeight="16635" activeTab="1" xr2:uid="{00000000-000D-0000-FFFF-FFFF00000000}"/>
  </bookViews>
  <sheets>
    <sheet name="Send Bids" sheetId="1" r:id="rId1"/>
    <sheet name="Prices" sheetId="2" r:id="rId2"/>
    <sheet name="BIDS" sheetId="3" r:id="rId3"/>
    <sheet name="MI1" sheetId="4" r:id="rId4"/>
    <sheet name="NORD-1" sheetId="5" r:id="rId5"/>
    <sheet name="NORD-2" sheetId="6" r:id="rId6"/>
    <sheet name="NORD-3" sheetId="7" r:id="rId7"/>
    <sheet name="NORD-4" sheetId="8" r:id="rId8"/>
    <sheet name="CSUD-1" sheetId="9" r:id="rId9"/>
    <sheet name="CSUD-2" sheetId="10" r:id="rId10"/>
    <sheet name="CSUD-3" sheetId="11" r:id="rId11"/>
    <sheet name="CSUD-4" sheetId="12" r:id="rId12"/>
    <sheet name="SUD-1" sheetId="13" r:id="rId13"/>
    <sheet name="SUD-2" sheetId="14" r:id="rId14"/>
    <sheet name="SUD-3" sheetId="15" r:id="rId15"/>
    <sheet name="SUD-4" sheetId="16" r:id="rId16"/>
    <sheet name="SICI-1" sheetId="17" r:id="rId17"/>
    <sheet name="SICI-2" sheetId="18" r:id="rId18"/>
    <sheet name="SICI-3" sheetId="19" r:id="rId19"/>
    <sheet name="SICI-4" sheetId="20" r:id="rId20"/>
    <sheet name="CNOR-1" sheetId="21" r:id="rId21"/>
    <sheet name="CNOR-2" sheetId="22" r:id="rId22"/>
    <sheet name="CNOR-3" sheetId="23" r:id="rId23"/>
    <sheet name="CNOR-4" sheetId="24" r:id="rId24"/>
    <sheet name="CALA-1" sheetId="25" r:id="rId25"/>
    <sheet name="CALA-2" sheetId="26" r:id="rId26"/>
    <sheet name="CALA-3" sheetId="27" r:id="rId27"/>
    <sheet name="SARD-1" sheetId="28" r:id="rId28"/>
    <sheet name="SARD-2" sheetId="29" r:id="rId29"/>
    <sheet name="SARD-3" sheetId="30" r:id="rId3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" i="20" l="1"/>
  <c r="F97" i="20" s="1"/>
  <c r="F96" i="20"/>
  <c r="C96" i="20"/>
  <c r="C95" i="20"/>
  <c r="F95" i="20" s="1"/>
  <c r="C94" i="20"/>
  <c r="F94" i="20" s="1"/>
  <c r="C93" i="20"/>
  <c r="F93" i="20" s="1"/>
  <c r="C92" i="20"/>
  <c r="F92" i="20" s="1"/>
  <c r="C91" i="20"/>
  <c r="F91" i="20" s="1"/>
  <c r="F90" i="20"/>
  <c r="C90" i="20"/>
  <c r="F89" i="20"/>
  <c r="C89" i="20"/>
  <c r="F88" i="20"/>
  <c r="C88" i="20"/>
  <c r="C87" i="20"/>
  <c r="F87" i="20" s="1"/>
  <c r="F86" i="20"/>
  <c r="C86" i="20"/>
  <c r="C85" i="20"/>
  <c r="F85" i="20" s="1"/>
  <c r="C84" i="20"/>
  <c r="F84" i="20" s="1"/>
  <c r="F83" i="20"/>
  <c r="C83" i="20"/>
  <c r="F82" i="20"/>
  <c r="C82" i="20"/>
  <c r="C81" i="20"/>
  <c r="F81" i="20" s="1"/>
  <c r="F80" i="20"/>
  <c r="C80" i="20"/>
  <c r="C79" i="20"/>
  <c r="F79" i="20" s="1"/>
  <c r="C78" i="20"/>
  <c r="F78" i="20" s="1"/>
  <c r="F77" i="20"/>
  <c r="C77" i="20"/>
  <c r="C76" i="20"/>
  <c r="F76" i="20" s="1"/>
  <c r="C75" i="20"/>
  <c r="F75" i="20" s="1"/>
  <c r="C74" i="20"/>
  <c r="F74" i="20" s="1"/>
  <c r="F73" i="20"/>
  <c r="C73" i="20"/>
  <c r="C72" i="20"/>
  <c r="F72" i="20" s="1"/>
  <c r="F71" i="20"/>
  <c r="C71" i="20"/>
  <c r="F70" i="20"/>
  <c r="C70" i="20"/>
  <c r="C69" i="20"/>
  <c r="F69" i="20" s="1"/>
  <c r="F68" i="20"/>
  <c r="C68" i="20"/>
  <c r="C67" i="20"/>
  <c r="F67" i="20" s="1"/>
  <c r="C66" i="20"/>
  <c r="F66" i="20" s="1"/>
  <c r="F65" i="20"/>
  <c r="C65" i="20"/>
  <c r="C64" i="20"/>
  <c r="F64" i="20" s="1"/>
  <c r="C63" i="20"/>
  <c r="F63" i="20" s="1"/>
  <c r="F62" i="20"/>
  <c r="C62" i="20"/>
  <c r="C61" i="20"/>
  <c r="F61" i="20" s="1"/>
  <c r="C60" i="20"/>
  <c r="F60" i="20" s="1"/>
  <c r="C59" i="20"/>
  <c r="F59" i="20" s="1"/>
  <c r="F58" i="20"/>
  <c r="C58" i="20"/>
  <c r="C57" i="20"/>
  <c r="F57" i="20" s="1"/>
  <c r="C56" i="20"/>
  <c r="F56" i="20" s="1"/>
  <c r="C55" i="20"/>
  <c r="F55" i="20" s="1"/>
  <c r="F54" i="20"/>
  <c r="C54" i="20"/>
  <c r="C53" i="20"/>
  <c r="F53" i="20" s="1"/>
  <c r="C52" i="20"/>
  <c r="F52" i="20" s="1"/>
  <c r="C51" i="20"/>
  <c r="F51" i="20" s="1"/>
  <c r="C50" i="20"/>
  <c r="F50" i="20" s="1"/>
  <c r="C49" i="20"/>
  <c r="F49" i="20" s="1"/>
  <c r="C48" i="20"/>
  <c r="F48" i="20" s="1"/>
  <c r="F47" i="20"/>
  <c r="C47" i="20"/>
  <c r="C46" i="20"/>
  <c r="F46" i="20" s="1"/>
  <c r="C45" i="20"/>
  <c r="F45" i="20" s="1"/>
  <c r="C44" i="20"/>
  <c r="F44" i="20" s="1"/>
  <c r="C43" i="20"/>
  <c r="F43" i="20" s="1"/>
  <c r="F42" i="20"/>
  <c r="C42" i="20"/>
  <c r="C41" i="20"/>
  <c r="F41" i="20" s="1"/>
  <c r="F40" i="20"/>
  <c r="C40" i="20"/>
  <c r="C39" i="20"/>
  <c r="F39" i="20" s="1"/>
  <c r="C38" i="20"/>
  <c r="F38" i="20" s="1"/>
  <c r="C37" i="20"/>
  <c r="F37" i="20" s="1"/>
  <c r="C36" i="20"/>
  <c r="F36" i="20" s="1"/>
  <c r="C35" i="20"/>
  <c r="F35" i="20" s="1"/>
  <c r="C34" i="20"/>
  <c r="F34" i="20" s="1"/>
  <c r="F33" i="20"/>
  <c r="C33" i="20"/>
  <c r="F32" i="20"/>
  <c r="C32" i="20"/>
  <c r="C31" i="20"/>
  <c r="F31" i="20" s="1"/>
  <c r="C30" i="20"/>
  <c r="F30" i="20" s="1"/>
  <c r="F29" i="20"/>
  <c r="C29" i="20"/>
  <c r="F28" i="20"/>
  <c r="C28" i="20"/>
  <c r="F27" i="20"/>
  <c r="C27" i="20"/>
  <c r="F26" i="20"/>
  <c r="C26" i="20"/>
  <c r="C25" i="20"/>
  <c r="F25" i="20" s="1"/>
  <c r="C24" i="20"/>
  <c r="F24" i="20" s="1"/>
  <c r="F23" i="20"/>
  <c r="C23" i="20"/>
  <c r="C22" i="20"/>
  <c r="F22" i="20" s="1"/>
  <c r="F21" i="20"/>
  <c r="C21" i="20"/>
  <c r="C20" i="20"/>
  <c r="F20" i="20" s="1"/>
  <c r="C19" i="20"/>
  <c r="F19" i="20" s="1"/>
  <c r="C18" i="20"/>
  <c r="F18" i="20" s="1"/>
  <c r="F17" i="20"/>
  <c r="C17" i="20"/>
  <c r="C16" i="20"/>
  <c r="F16" i="20" s="1"/>
  <c r="C15" i="20"/>
  <c r="F15" i="20" s="1"/>
  <c r="C14" i="20"/>
  <c r="F14" i="20" s="1"/>
  <c r="C13" i="20"/>
  <c r="F13" i="20" s="1"/>
  <c r="F12" i="20"/>
  <c r="C12" i="20"/>
  <c r="C11" i="20"/>
  <c r="F11" i="20" s="1"/>
  <c r="C10" i="20"/>
  <c r="F10" i="20" s="1"/>
  <c r="F9" i="20"/>
  <c r="C9" i="20"/>
  <c r="C8" i="20"/>
  <c r="F8" i="20" s="1"/>
  <c r="C7" i="20"/>
  <c r="F7" i="20" s="1"/>
  <c r="F6" i="20"/>
  <c r="C6" i="20"/>
  <c r="C5" i="20"/>
  <c r="F5" i="20" s="1"/>
  <c r="C4" i="20"/>
  <c r="F4" i="20" s="1"/>
  <c r="F3" i="20"/>
  <c r="C3" i="20"/>
  <c r="F2" i="20"/>
  <c r="C2" i="20"/>
  <c r="F97" i="19"/>
  <c r="C97" i="19"/>
  <c r="C96" i="19"/>
  <c r="F96" i="19" s="1"/>
  <c r="C95" i="19"/>
  <c r="F95" i="19" s="1"/>
  <c r="F94" i="19"/>
  <c r="C94" i="19"/>
  <c r="C93" i="19"/>
  <c r="F93" i="19" s="1"/>
  <c r="C92" i="19"/>
  <c r="F92" i="19" s="1"/>
  <c r="F91" i="19"/>
  <c r="C91" i="19"/>
  <c r="C90" i="19"/>
  <c r="F90" i="19" s="1"/>
  <c r="F89" i="19"/>
  <c r="C89" i="19"/>
  <c r="C88" i="19"/>
  <c r="F88" i="19" s="1"/>
  <c r="F87" i="19"/>
  <c r="C87" i="19"/>
  <c r="C86" i="19"/>
  <c r="F86" i="19" s="1"/>
  <c r="C85" i="19"/>
  <c r="F85" i="19" s="1"/>
  <c r="C84" i="19"/>
  <c r="F84" i="19" s="1"/>
  <c r="F83" i="19"/>
  <c r="C83" i="19"/>
  <c r="C82" i="19"/>
  <c r="F82" i="19" s="1"/>
  <c r="F81" i="19"/>
  <c r="C81" i="19"/>
  <c r="F80" i="19"/>
  <c r="C80" i="19"/>
  <c r="C79" i="19"/>
  <c r="F79" i="19" s="1"/>
  <c r="C78" i="19"/>
  <c r="F78" i="19" s="1"/>
  <c r="C77" i="19"/>
  <c r="F77" i="19" s="1"/>
  <c r="C76" i="19"/>
  <c r="F76" i="19" s="1"/>
  <c r="C75" i="19"/>
  <c r="F75" i="19" s="1"/>
  <c r="C74" i="19"/>
  <c r="F74" i="19" s="1"/>
  <c r="F73" i="19"/>
  <c r="C73" i="19"/>
  <c r="F72" i="19"/>
  <c r="C72" i="19"/>
  <c r="C71" i="19"/>
  <c r="F71" i="19" s="1"/>
  <c r="C70" i="19"/>
  <c r="F70" i="19" s="1"/>
  <c r="C69" i="19"/>
  <c r="F69" i="19" s="1"/>
  <c r="F68" i="19"/>
  <c r="C68" i="19"/>
  <c r="C67" i="19"/>
  <c r="F67" i="19" s="1"/>
  <c r="F66" i="19"/>
  <c r="C66" i="19"/>
  <c r="C65" i="19"/>
  <c r="F65" i="19" s="1"/>
  <c r="F64" i="19"/>
  <c r="C64" i="19"/>
  <c r="F63" i="19"/>
  <c r="C63" i="19"/>
  <c r="C62" i="19"/>
  <c r="F62" i="19" s="1"/>
  <c r="C61" i="19"/>
  <c r="F61" i="19" s="1"/>
  <c r="F60" i="19"/>
  <c r="C60" i="19"/>
  <c r="F59" i="19"/>
  <c r="C59" i="19"/>
  <c r="C58" i="19"/>
  <c r="F58" i="19" s="1"/>
  <c r="F57" i="19"/>
  <c r="C57" i="19"/>
  <c r="C56" i="19"/>
  <c r="F56" i="19" s="1"/>
  <c r="C55" i="19"/>
  <c r="F55" i="19" s="1"/>
  <c r="C54" i="19"/>
  <c r="F54" i="19" s="1"/>
  <c r="F53" i="19"/>
  <c r="C53" i="19"/>
  <c r="F52" i="19"/>
  <c r="C52" i="19"/>
  <c r="C51" i="19"/>
  <c r="F51" i="19" s="1"/>
  <c r="C50" i="19"/>
  <c r="F50" i="19" s="1"/>
  <c r="C49" i="19"/>
  <c r="F49" i="19" s="1"/>
  <c r="C48" i="19"/>
  <c r="F48" i="19" s="1"/>
  <c r="C47" i="19"/>
  <c r="F47" i="19" s="1"/>
  <c r="C46" i="19"/>
  <c r="F46" i="19" s="1"/>
  <c r="C45" i="19"/>
  <c r="F45" i="19" s="1"/>
  <c r="C44" i="19"/>
  <c r="F44" i="19" s="1"/>
  <c r="F43" i="19"/>
  <c r="C43" i="19"/>
  <c r="F42" i="19"/>
  <c r="C42" i="19"/>
  <c r="C41" i="19"/>
  <c r="F41" i="19" s="1"/>
  <c r="C40" i="19"/>
  <c r="F40" i="19" s="1"/>
  <c r="C39" i="19"/>
  <c r="F39" i="19" s="1"/>
  <c r="F38" i="19"/>
  <c r="C38" i="19"/>
  <c r="C37" i="19"/>
  <c r="F37" i="19" s="1"/>
  <c r="C36" i="19"/>
  <c r="F36" i="19" s="1"/>
  <c r="C35" i="19"/>
  <c r="F35" i="19" s="1"/>
  <c r="C34" i="19"/>
  <c r="F34" i="19" s="1"/>
  <c r="F33" i="19"/>
  <c r="C33" i="19"/>
  <c r="F32" i="19"/>
  <c r="C32" i="19"/>
  <c r="C31" i="19"/>
  <c r="F31" i="19" s="1"/>
  <c r="C30" i="19"/>
  <c r="F30" i="19" s="1"/>
  <c r="C29" i="19"/>
  <c r="F29" i="19" s="1"/>
  <c r="C28" i="19"/>
  <c r="F28" i="19" s="1"/>
  <c r="F27" i="19"/>
  <c r="C27" i="19"/>
  <c r="C26" i="19"/>
  <c r="F26" i="19" s="1"/>
  <c r="C25" i="19"/>
  <c r="F25" i="19" s="1"/>
  <c r="F24" i="19"/>
  <c r="C24" i="19"/>
  <c r="C23" i="19"/>
  <c r="F23" i="19" s="1"/>
  <c r="C22" i="19"/>
  <c r="F22" i="19" s="1"/>
  <c r="C21" i="19"/>
  <c r="F21" i="19" s="1"/>
  <c r="C20" i="19"/>
  <c r="F20" i="19" s="1"/>
  <c r="F19" i="19"/>
  <c r="C19" i="19"/>
  <c r="C18" i="19"/>
  <c r="F18" i="19" s="1"/>
  <c r="C17" i="19"/>
  <c r="F17" i="19" s="1"/>
  <c r="F16" i="19"/>
  <c r="C16" i="19"/>
  <c r="F15" i="19"/>
  <c r="C15" i="19"/>
  <c r="F14" i="19"/>
  <c r="C14" i="19"/>
  <c r="C13" i="19"/>
  <c r="F13" i="19" s="1"/>
  <c r="F12" i="19"/>
  <c r="C12" i="19"/>
  <c r="C11" i="19"/>
  <c r="F11" i="19" s="1"/>
  <c r="F10" i="19"/>
  <c r="C10" i="19"/>
  <c r="C9" i="19"/>
  <c r="F9" i="19" s="1"/>
  <c r="C8" i="19"/>
  <c r="F8" i="19" s="1"/>
  <c r="C7" i="19"/>
  <c r="F7" i="19" s="1"/>
  <c r="C6" i="19"/>
  <c r="F6" i="19" s="1"/>
  <c r="C5" i="19"/>
  <c r="F5" i="19" s="1"/>
  <c r="F4" i="19"/>
  <c r="C4" i="19"/>
  <c r="C3" i="19"/>
  <c r="F3" i="19" s="1"/>
  <c r="F2" i="19"/>
  <c r="C2" i="19"/>
  <c r="C97" i="18"/>
  <c r="F97" i="18" s="1"/>
  <c r="C96" i="18"/>
  <c r="F96" i="18" s="1"/>
  <c r="F95" i="18"/>
  <c r="C95" i="18"/>
  <c r="F94" i="18"/>
  <c r="C94" i="18"/>
  <c r="F93" i="18"/>
  <c r="C93" i="18"/>
  <c r="F92" i="18"/>
  <c r="C92" i="18"/>
  <c r="C91" i="18"/>
  <c r="F91" i="18" s="1"/>
  <c r="C90" i="18"/>
  <c r="F90" i="18" s="1"/>
  <c r="C89" i="18"/>
  <c r="F89" i="18" s="1"/>
  <c r="C88" i="18"/>
  <c r="F88" i="18" s="1"/>
  <c r="F87" i="18"/>
  <c r="C87" i="18"/>
  <c r="C86" i="18"/>
  <c r="F86" i="18" s="1"/>
  <c r="F85" i="18"/>
  <c r="C85" i="18"/>
  <c r="C84" i="18"/>
  <c r="F84" i="18" s="1"/>
  <c r="C83" i="18"/>
  <c r="F83" i="18" s="1"/>
  <c r="F82" i="18"/>
  <c r="C82" i="18"/>
  <c r="F81" i="18"/>
  <c r="C81" i="18"/>
  <c r="F80" i="18"/>
  <c r="C80" i="18"/>
  <c r="F79" i="18"/>
  <c r="C79" i="18"/>
  <c r="F78" i="18"/>
  <c r="C78" i="18"/>
  <c r="C77" i="18"/>
  <c r="F77" i="18" s="1"/>
  <c r="C76" i="18"/>
  <c r="F76" i="18" s="1"/>
  <c r="C75" i="18"/>
  <c r="F75" i="18" s="1"/>
  <c r="C74" i="18"/>
  <c r="F74" i="18" s="1"/>
  <c r="F73" i="18"/>
  <c r="C73" i="18"/>
  <c r="F72" i="18"/>
  <c r="C72" i="18"/>
  <c r="C71" i="18"/>
  <c r="F71" i="18" s="1"/>
  <c r="C70" i="18"/>
  <c r="F70" i="18" s="1"/>
  <c r="F69" i="18"/>
  <c r="C69" i="18"/>
  <c r="C68" i="18"/>
  <c r="F68" i="18" s="1"/>
  <c r="C67" i="18"/>
  <c r="F67" i="18" s="1"/>
  <c r="C66" i="18"/>
  <c r="F66" i="18" s="1"/>
  <c r="F65" i="18"/>
  <c r="C65" i="18"/>
  <c r="F64" i="18"/>
  <c r="C64" i="18"/>
  <c r="C63" i="18"/>
  <c r="F63" i="18" s="1"/>
  <c r="C62" i="18"/>
  <c r="F62" i="18" s="1"/>
  <c r="C61" i="18"/>
  <c r="F61" i="18" s="1"/>
  <c r="C60" i="18"/>
  <c r="F60" i="18" s="1"/>
  <c r="C59" i="18"/>
  <c r="F59" i="18" s="1"/>
  <c r="F58" i="18"/>
  <c r="C58" i="18"/>
  <c r="C57" i="18"/>
  <c r="F57" i="18" s="1"/>
  <c r="F56" i="18"/>
  <c r="C56" i="18"/>
  <c r="C55" i="18"/>
  <c r="F55" i="18" s="1"/>
  <c r="F54" i="18"/>
  <c r="C54" i="18"/>
  <c r="F53" i="18"/>
  <c r="C53" i="18"/>
  <c r="F52" i="18"/>
  <c r="C52" i="18"/>
  <c r="C51" i="18"/>
  <c r="F51" i="18" s="1"/>
  <c r="F50" i="18"/>
  <c r="C50" i="18"/>
  <c r="C49" i="18"/>
  <c r="F49" i="18" s="1"/>
  <c r="F48" i="18"/>
  <c r="C48" i="18"/>
  <c r="C47" i="18"/>
  <c r="F47" i="18" s="1"/>
  <c r="C46" i="18"/>
  <c r="F46" i="18" s="1"/>
  <c r="C45" i="18"/>
  <c r="F45" i="18" s="1"/>
  <c r="C44" i="18"/>
  <c r="F44" i="18" s="1"/>
  <c r="F43" i="18"/>
  <c r="C43" i="18"/>
  <c r="C42" i="18"/>
  <c r="F42" i="18" s="1"/>
  <c r="C41" i="18"/>
  <c r="F41" i="18" s="1"/>
  <c r="F40" i="18"/>
  <c r="C40" i="18"/>
  <c r="C39" i="18"/>
  <c r="F39" i="18" s="1"/>
  <c r="C38" i="18"/>
  <c r="F38" i="18" s="1"/>
  <c r="F37" i="18"/>
  <c r="C37" i="18"/>
  <c r="F36" i="18"/>
  <c r="C36" i="18"/>
  <c r="C35" i="18"/>
  <c r="F35" i="18" s="1"/>
  <c r="C34" i="18"/>
  <c r="F34" i="18" s="1"/>
  <c r="C33" i="18"/>
  <c r="F33" i="18" s="1"/>
  <c r="C32" i="18"/>
  <c r="F32" i="18" s="1"/>
  <c r="C31" i="18"/>
  <c r="F31" i="18" s="1"/>
  <c r="C30" i="18"/>
  <c r="F30" i="18" s="1"/>
  <c r="C29" i="18"/>
  <c r="F29" i="18" s="1"/>
  <c r="F28" i="18"/>
  <c r="C28" i="18"/>
  <c r="C27" i="18"/>
  <c r="F27" i="18" s="1"/>
  <c r="C26" i="18"/>
  <c r="F26" i="18" s="1"/>
  <c r="C25" i="18"/>
  <c r="F25" i="18" s="1"/>
  <c r="F24" i="18"/>
  <c r="C24" i="18"/>
  <c r="C23" i="18"/>
  <c r="F23" i="18" s="1"/>
  <c r="F22" i="18"/>
  <c r="C22" i="18"/>
  <c r="C21" i="18"/>
  <c r="F21" i="18" s="1"/>
  <c r="C20" i="18"/>
  <c r="F20" i="18" s="1"/>
  <c r="C19" i="18"/>
  <c r="F19" i="18" s="1"/>
  <c r="C18" i="18"/>
  <c r="F18" i="18" s="1"/>
  <c r="F17" i="18"/>
  <c r="C17" i="18"/>
  <c r="C16" i="18"/>
  <c r="F16" i="18" s="1"/>
  <c r="C15" i="18"/>
  <c r="F15" i="18" s="1"/>
  <c r="C14" i="18"/>
  <c r="F14" i="18" s="1"/>
  <c r="F13" i="18"/>
  <c r="C13" i="18"/>
  <c r="C12" i="18"/>
  <c r="F12" i="18" s="1"/>
  <c r="C11" i="18"/>
  <c r="F11" i="18" s="1"/>
  <c r="F10" i="18"/>
  <c r="C10" i="18"/>
  <c r="F9" i="18"/>
  <c r="C9" i="18"/>
  <c r="F8" i="18"/>
  <c r="C8" i="18"/>
  <c r="C7" i="18"/>
  <c r="F7" i="18" s="1"/>
  <c r="C6" i="18"/>
  <c r="F6" i="18" s="1"/>
  <c r="F5" i="18"/>
  <c r="C5" i="18"/>
  <c r="C4" i="18"/>
  <c r="F4" i="18" s="1"/>
  <c r="C3" i="18"/>
  <c r="F3" i="18" s="1"/>
  <c r="F2" i="18"/>
  <c r="C2" i="18"/>
  <c r="C97" i="17"/>
  <c r="F97" i="17" s="1"/>
  <c r="C96" i="17"/>
  <c r="F96" i="17" s="1"/>
  <c r="F95" i="17"/>
  <c r="C95" i="17"/>
  <c r="F94" i="17"/>
  <c r="C94" i="17"/>
  <c r="C93" i="17"/>
  <c r="F93" i="17" s="1"/>
  <c r="C92" i="17"/>
  <c r="F92" i="17" s="1"/>
  <c r="C91" i="17"/>
  <c r="F91" i="17" s="1"/>
  <c r="F90" i="17"/>
  <c r="C90" i="17"/>
  <c r="C89" i="17"/>
  <c r="F89" i="17" s="1"/>
  <c r="F88" i="17"/>
  <c r="C88" i="17"/>
  <c r="F87" i="17"/>
  <c r="C87" i="17"/>
  <c r="C86" i="17"/>
  <c r="F86" i="17" s="1"/>
  <c r="C85" i="17"/>
  <c r="F85" i="17" s="1"/>
  <c r="C84" i="17"/>
  <c r="F84" i="17" s="1"/>
  <c r="F83" i="17"/>
  <c r="C83" i="17"/>
  <c r="C82" i="17"/>
  <c r="F82" i="17" s="1"/>
  <c r="C81" i="17"/>
  <c r="F81" i="17" s="1"/>
  <c r="C80" i="17"/>
  <c r="F80" i="17" s="1"/>
  <c r="F79" i="17"/>
  <c r="C79" i="17"/>
  <c r="C78" i="17"/>
  <c r="F78" i="17" s="1"/>
  <c r="C77" i="17"/>
  <c r="F77" i="17" s="1"/>
  <c r="F76" i="17"/>
  <c r="C76" i="17"/>
  <c r="C75" i="17"/>
  <c r="F75" i="17" s="1"/>
  <c r="C74" i="17"/>
  <c r="F74" i="17" s="1"/>
  <c r="F73" i="17"/>
  <c r="C73" i="17"/>
  <c r="C72" i="17"/>
  <c r="F72" i="17" s="1"/>
  <c r="F71" i="17"/>
  <c r="C71" i="17"/>
  <c r="C70" i="17"/>
  <c r="F70" i="17" s="1"/>
  <c r="F69" i="17"/>
  <c r="C69" i="17"/>
  <c r="F68" i="17"/>
  <c r="C68" i="17"/>
  <c r="C67" i="17"/>
  <c r="F67" i="17" s="1"/>
  <c r="C66" i="17"/>
  <c r="F66" i="17" s="1"/>
  <c r="F65" i="17"/>
  <c r="C65" i="17"/>
  <c r="F64" i="17"/>
  <c r="C64" i="17"/>
  <c r="F63" i="17"/>
  <c r="C63" i="17"/>
  <c r="F62" i="17"/>
  <c r="C62" i="17"/>
  <c r="C61" i="17"/>
  <c r="F61" i="17" s="1"/>
  <c r="C60" i="17"/>
  <c r="F60" i="17" s="1"/>
  <c r="C59" i="17"/>
  <c r="F59" i="17" s="1"/>
  <c r="C58" i="17"/>
  <c r="F58" i="17" s="1"/>
  <c r="C57" i="17"/>
  <c r="F57" i="17" s="1"/>
  <c r="F56" i="17"/>
  <c r="C56" i="17"/>
  <c r="F55" i="17"/>
  <c r="C55" i="17"/>
  <c r="C54" i="17"/>
  <c r="F54" i="17" s="1"/>
  <c r="F53" i="17"/>
  <c r="C53" i="17"/>
  <c r="C52" i="17"/>
  <c r="F52" i="17" s="1"/>
  <c r="C51" i="17"/>
  <c r="F51" i="17" s="1"/>
  <c r="C50" i="17"/>
  <c r="F50" i="17" s="1"/>
  <c r="F49" i="17"/>
  <c r="C49" i="17"/>
  <c r="F48" i="17"/>
  <c r="C48" i="17"/>
  <c r="C47" i="17"/>
  <c r="F47" i="17" s="1"/>
  <c r="F46" i="17"/>
  <c r="C46" i="17"/>
  <c r="F45" i="17"/>
  <c r="C45" i="17"/>
  <c r="C44" i="17"/>
  <c r="F44" i="17" s="1"/>
  <c r="C43" i="17"/>
  <c r="F43" i="17" s="1"/>
  <c r="C42" i="17"/>
  <c r="F42" i="17" s="1"/>
  <c r="F41" i="17"/>
  <c r="C41" i="17"/>
  <c r="C40" i="17"/>
  <c r="F40" i="17" s="1"/>
  <c r="F39" i="17"/>
  <c r="C39" i="17"/>
  <c r="F38" i="17"/>
  <c r="C38" i="17"/>
  <c r="C37" i="17"/>
  <c r="F37" i="17" s="1"/>
  <c r="C36" i="17"/>
  <c r="F36" i="17" s="1"/>
  <c r="F35" i="17"/>
  <c r="C35" i="17"/>
  <c r="F34" i="17"/>
  <c r="C34" i="17"/>
  <c r="C33" i="17"/>
  <c r="F33" i="17" s="1"/>
  <c r="C32" i="17"/>
  <c r="F32" i="17" s="1"/>
  <c r="C31" i="17"/>
  <c r="F31" i="17" s="1"/>
  <c r="C30" i="17"/>
  <c r="F30" i="17" s="1"/>
  <c r="C29" i="17"/>
  <c r="F29" i="17" s="1"/>
  <c r="C28" i="17"/>
  <c r="F28" i="17" s="1"/>
  <c r="C27" i="17"/>
  <c r="F27" i="17" s="1"/>
  <c r="F26" i="17"/>
  <c r="C26" i="17"/>
  <c r="F25" i="17"/>
  <c r="C25" i="17"/>
  <c r="F24" i="17"/>
  <c r="C24" i="17"/>
  <c r="F23" i="17"/>
  <c r="C23" i="17"/>
  <c r="C22" i="17"/>
  <c r="F22" i="17" s="1"/>
  <c r="C21" i="17"/>
  <c r="F21" i="17" s="1"/>
  <c r="F20" i="17"/>
  <c r="C20" i="17"/>
  <c r="C19" i="17"/>
  <c r="F19" i="17" s="1"/>
  <c r="C18" i="17"/>
  <c r="F18" i="17" s="1"/>
  <c r="C17" i="17"/>
  <c r="F17" i="17" s="1"/>
  <c r="C16" i="17"/>
  <c r="F16" i="17" s="1"/>
  <c r="F15" i="17"/>
  <c r="C15" i="17"/>
  <c r="C14" i="17"/>
  <c r="F14" i="17" s="1"/>
  <c r="F13" i="17"/>
  <c r="C13" i="17"/>
  <c r="F12" i="17"/>
  <c r="C12" i="17"/>
  <c r="C11" i="17"/>
  <c r="F11" i="17" s="1"/>
  <c r="C10" i="17"/>
  <c r="F10" i="17" s="1"/>
  <c r="C9" i="17"/>
  <c r="F9" i="17" s="1"/>
  <c r="F8" i="17"/>
  <c r="C8" i="17"/>
  <c r="C7" i="17"/>
  <c r="F7" i="17" s="1"/>
  <c r="F6" i="17"/>
  <c r="C6" i="17"/>
  <c r="C5" i="17"/>
  <c r="F5" i="17" s="1"/>
  <c r="C4" i="17"/>
  <c r="F4" i="17" s="1"/>
  <c r="C3" i="17"/>
  <c r="F3" i="17" s="1"/>
  <c r="C2" i="17"/>
  <c r="F2" i="17" s="1"/>
  <c r="C97" i="16"/>
  <c r="F97" i="16" s="1"/>
  <c r="C96" i="16"/>
  <c r="F96" i="16" s="1"/>
  <c r="F95" i="16"/>
  <c r="C95" i="16"/>
  <c r="C94" i="16"/>
  <c r="F94" i="16" s="1"/>
  <c r="F93" i="16"/>
  <c r="C93" i="16"/>
  <c r="F92" i="16"/>
  <c r="C92" i="16"/>
  <c r="C91" i="16"/>
  <c r="F91" i="16" s="1"/>
  <c r="C90" i="16"/>
  <c r="F90" i="16" s="1"/>
  <c r="F89" i="16"/>
  <c r="C89" i="16"/>
  <c r="F88" i="16"/>
  <c r="C88" i="16"/>
  <c r="C87" i="16"/>
  <c r="F87" i="16" s="1"/>
  <c r="F86" i="16"/>
  <c r="C86" i="16"/>
  <c r="C85" i="16"/>
  <c r="F85" i="16" s="1"/>
  <c r="C84" i="16"/>
  <c r="F84" i="16" s="1"/>
  <c r="F83" i="16"/>
  <c r="C83" i="16"/>
  <c r="C82" i="16"/>
  <c r="F82" i="16" s="1"/>
  <c r="C81" i="16"/>
  <c r="F81" i="16" s="1"/>
  <c r="C80" i="16"/>
  <c r="F80" i="16" s="1"/>
  <c r="C79" i="16"/>
  <c r="F79" i="16" s="1"/>
  <c r="F78" i="16"/>
  <c r="C78" i="16"/>
  <c r="F77" i="16"/>
  <c r="C77" i="16"/>
  <c r="C76" i="16"/>
  <c r="F76" i="16" s="1"/>
  <c r="C75" i="16"/>
  <c r="F75" i="16" s="1"/>
  <c r="F74" i="16"/>
  <c r="C74" i="16"/>
  <c r="C73" i="16"/>
  <c r="F73" i="16" s="1"/>
  <c r="C72" i="16"/>
  <c r="F72" i="16" s="1"/>
  <c r="C71" i="16"/>
  <c r="F71" i="16" s="1"/>
  <c r="C70" i="16"/>
  <c r="F70" i="16" s="1"/>
  <c r="F69" i="16"/>
  <c r="C69" i="16"/>
  <c r="C68" i="16"/>
  <c r="F68" i="16" s="1"/>
  <c r="F67" i="16"/>
  <c r="C67" i="16"/>
  <c r="C66" i="16"/>
  <c r="F66" i="16" s="1"/>
  <c r="C65" i="16"/>
  <c r="F65" i="16" s="1"/>
  <c r="C64" i="16"/>
  <c r="F64" i="16" s="1"/>
  <c r="F63" i="16"/>
  <c r="C63" i="16"/>
  <c r="C62" i="16"/>
  <c r="F62" i="16" s="1"/>
  <c r="C61" i="16"/>
  <c r="F61" i="16" s="1"/>
  <c r="F60" i="16"/>
  <c r="C60" i="16"/>
  <c r="C59" i="16"/>
  <c r="F59" i="16" s="1"/>
  <c r="C58" i="16"/>
  <c r="F58" i="16" s="1"/>
  <c r="C57" i="16"/>
  <c r="F57" i="16" s="1"/>
  <c r="C56" i="16"/>
  <c r="F56" i="16" s="1"/>
  <c r="C55" i="16"/>
  <c r="F55" i="16" s="1"/>
  <c r="F54" i="16"/>
  <c r="C54" i="16"/>
  <c r="C53" i="16"/>
  <c r="F53" i="16" s="1"/>
  <c r="C52" i="16"/>
  <c r="F52" i="16" s="1"/>
  <c r="C51" i="16"/>
  <c r="F51" i="16" s="1"/>
  <c r="F50" i="16"/>
  <c r="C50" i="16"/>
  <c r="F49" i="16"/>
  <c r="C49" i="16"/>
  <c r="C48" i="16"/>
  <c r="F48" i="16" s="1"/>
  <c r="F47" i="16"/>
  <c r="C47" i="16"/>
  <c r="F46" i="16"/>
  <c r="C46" i="16"/>
  <c r="C45" i="16"/>
  <c r="F45" i="16" s="1"/>
  <c r="C44" i="16"/>
  <c r="F44" i="16" s="1"/>
  <c r="C43" i="16"/>
  <c r="F43" i="16" s="1"/>
  <c r="C42" i="16"/>
  <c r="F42" i="16" s="1"/>
  <c r="C41" i="16"/>
  <c r="F41" i="16" s="1"/>
  <c r="C40" i="16"/>
  <c r="F40" i="16" s="1"/>
  <c r="F39" i="16"/>
  <c r="C39" i="16"/>
  <c r="F38" i="16"/>
  <c r="C38" i="16"/>
  <c r="C37" i="16"/>
  <c r="F37" i="16" s="1"/>
  <c r="F36" i="16"/>
  <c r="C36" i="16"/>
  <c r="C35" i="16"/>
  <c r="F35" i="16" s="1"/>
  <c r="C34" i="16"/>
  <c r="F34" i="16" s="1"/>
  <c r="C33" i="16"/>
  <c r="F33" i="16" s="1"/>
  <c r="F32" i="16"/>
  <c r="C32" i="16"/>
  <c r="C31" i="16"/>
  <c r="F31" i="16" s="1"/>
  <c r="F30" i="16"/>
  <c r="C30" i="16"/>
  <c r="F29" i="16"/>
  <c r="C29" i="16"/>
  <c r="C28" i="16"/>
  <c r="F28" i="16" s="1"/>
  <c r="C27" i="16"/>
  <c r="F27" i="16" s="1"/>
  <c r="C26" i="16"/>
  <c r="F26" i="16" s="1"/>
  <c r="F25" i="16"/>
  <c r="C25" i="16"/>
  <c r="F24" i="16"/>
  <c r="C24" i="16"/>
  <c r="C23" i="16"/>
  <c r="F23" i="16" s="1"/>
  <c r="F22" i="16"/>
  <c r="C22" i="16"/>
  <c r="C21" i="16"/>
  <c r="F21" i="16" s="1"/>
  <c r="F20" i="16"/>
  <c r="C20" i="16"/>
  <c r="F19" i="16"/>
  <c r="C19" i="16"/>
  <c r="F18" i="16"/>
  <c r="C18" i="16"/>
  <c r="C17" i="16"/>
  <c r="F17" i="16" s="1"/>
  <c r="C16" i="16"/>
  <c r="F16" i="16" s="1"/>
  <c r="F15" i="16"/>
  <c r="C15" i="16"/>
  <c r="C14" i="16"/>
  <c r="F14" i="16" s="1"/>
  <c r="F13" i="16"/>
  <c r="C13" i="16"/>
  <c r="C12" i="16"/>
  <c r="F12" i="16" s="1"/>
  <c r="C11" i="16"/>
  <c r="F11" i="16" s="1"/>
  <c r="C10" i="16"/>
  <c r="F10" i="16" s="1"/>
  <c r="F9" i="16"/>
  <c r="C9" i="16"/>
  <c r="F8" i="16"/>
  <c r="C8" i="16"/>
  <c r="F7" i="16"/>
  <c r="C7" i="16"/>
  <c r="F6" i="16"/>
  <c r="C6" i="16"/>
  <c r="C5" i="16"/>
  <c r="F5" i="16" s="1"/>
  <c r="F4" i="16"/>
  <c r="C4" i="16"/>
  <c r="C3" i="16"/>
  <c r="F3" i="16" s="1"/>
  <c r="C2" i="16"/>
  <c r="F2" i="16" s="1"/>
  <c r="F97" i="15"/>
  <c r="C97" i="15"/>
  <c r="C96" i="15"/>
  <c r="F96" i="15" s="1"/>
  <c r="C95" i="15"/>
  <c r="F95" i="15" s="1"/>
  <c r="F94" i="15"/>
  <c r="C94" i="15"/>
  <c r="C93" i="15"/>
  <c r="F93" i="15" s="1"/>
  <c r="C92" i="15"/>
  <c r="F92" i="15" s="1"/>
  <c r="C91" i="15"/>
  <c r="F91" i="15" s="1"/>
  <c r="F90" i="15"/>
  <c r="C90" i="15"/>
  <c r="F89" i="15"/>
  <c r="C89" i="15"/>
  <c r="C88" i="15"/>
  <c r="F88" i="15" s="1"/>
  <c r="F87" i="15"/>
  <c r="C87" i="15"/>
  <c r="F86" i="15"/>
  <c r="C86" i="15"/>
  <c r="C85" i="15"/>
  <c r="F85" i="15" s="1"/>
  <c r="C84" i="15"/>
  <c r="F84" i="15" s="1"/>
  <c r="C83" i="15"/>
  <c r="F83" i="15" s="1"/>
  <c r="C82" i="15"/>
  <c r="F82" i="15" s="1"/>
  <c r="C81" i="15"/>
  <c r="F81" i="15" s="1"/>
  <c r="C80" i="15"/>
  <c r="F80" i="15" s="1"/>
  <c r="F79" i="15"/>
  <c r="C79" i="15"/>
  <c r="C78" i="15"/>
  <c r="F78" i="15" s="1"/>
  <c r="C77" i="15"/>
  <c r="F77" i="15" s="1"/>
  <c r="C76" i="15"/>
  <c r="F76" i="15" s="1"/>
  <c r="F75" i="15"/>
  <c r="C75" i="15"/>
  <c r="F74" i="15"/>
  <c r="C74" i="15"/>
  <c r="C73" i="15"/>
  <c r="F73" i="15" s="1"/>
  <c r="F72" i="15"/>
  <c r="C72" i="15"/>
  <c r="C71" i="15"/>
  <c r="F71" i="15" s="1"/>
  <c r="F70" i="15"/>
  <c r="C70" i="15"/>
  <c r="F69" i="15"/>
  <c r="C69" i="15"/>
  <c r="C68" i="15"/>
  <c r="F68" i="15" s="1"/>
  <c r="C67" i="15"/>
  <c r="F67" i="15" s="1"/>
  <c r="C66" i="15"/>
  <c r="F66" i="15" s="1"/>
  <c r="C65" i="15"/>
  <c r="F65" i="15" s="1"/>
  <c r="F64" i="15"/>
  <c r="C64" i="15"/>
  <c r="C63" i="15"/>
  <c r="F63" i="15" s="1"/>
  <c r="C62" i="15"/>
  <c r="F62" i="15" s="1"/>
  <c r="F61" i="15"/>
  <c r="C61" i="15"/>
  <c r="F60" i="15"/>
  <c r="C60" i="15"/>
  <c r="C59" i="15"/>
  <c r="F59" i="15" s="1"/>
  <c r="F58" i="15"/>
  <c r="C58" i="15"/>
  <c r="C57" i="15"/>
  <c r="F57" i="15" s="1"/>
  <c r="F56" i="15"/>
  <c r="C56" i="15"/>
  <c r="C55" i="15"/>
  <c r="F55" i="15" s="1"/>
  <c r="C54" i="15"/>
  <c r="F54" i="15" s="1"/>
  <c r="F53" i="15"/>
  <c r="C53" i="15"/>
  <c r="C52" i="15"/>
  <c r="F52" i="15" s="1"/>
  <c r="C51" i="15"/>
  <c r="F51" i="15" s="1"/>
  <c r="C50" i="15"/>
  <c r="F50" i="15" s="1"/>
  <c r="F49" i="15"/>
  <c r="C49" i="15"/>
  <c r="C48" i="15"/>
  <c r="F48" i="15" s="1"/>
  <c r="C47" i="15"/>
  <c r="F47" i="15" s="1"/>
  <c r="C46" i="15"/>
  <c r="F46" i="15" s="1"/>
  <c r="F45" i="15"/>
  <c r="C45" i="15"/>
  <c r="F44" i="15"/>
  <c r="C44" i="15"/>
  <c r="C43" i="15"/>
  <c r="F43" i="15" s="1"/>
  <c r="C42" i="15"/>
  <c r="F42" i="15" s="1"/>
  <c r="C41" i="15"/>
  <c r="F41" i="15" s="1"/>
  <c r="C40" i="15"/>
  <c r="F40" i="15" s="1"/>
  <c r="C39" i="15"/>
  <c r="F39" i="15" s="1"/>
  <c r="C38" i="15"/>
  <c r="F38" i="15" s="1"/>
  <c r="F37" i="15"/>
  <c r="C37" i="15"/>
  <c r="C36" i="15"/>
  <c r="F36" i="15" s="1"/>
  <c r="F35" i="15"/>
  <c r="C35" i="15"/>
  <c r="F34" i="15"/>
  <c r="C34" i="15"/>
  <c r="C33" i="15"/>
  <c r="F33" i="15" s="1"/>
  <c r="C32" i="15"/>
  <c r="F32" i="15" s="1"/>
  <c r="C31" i="15"/>
  <c r="F31" i="15" s="1"/>
  <c r="F30" i="15"/>
  <c r="C30" i="15"/>
  <c r="C29" i="15"/>
  <c r="F29" i="15" s="1"/>
  <c r="F28" i="15"/>
  <c r="C28" i="15"/>
  <c r="F27" i="15"/>
  <c r="C27" i="15"/>
  <c r="C26" i="15"/>
  <c r="F26" i="15" s="1"/>
  <c r="C25" i="15"/>
  <c r="F25" i="15" s="1"/>
  <c r="F24" i="15"/>
  <c r="C24" i="15"/>
  <c r="C23" i="15"/>
  <c r="F23" i="15" s="1"/>
  <c r="C22" i="15"/>
  <c r="F22" i="15" s="1"/>
  <c r="F21" i="15"/>
  <c r="C21" i="15"/>
  <c r="C20" i="15"/>
  <c r="F20" i="15" s="1"/>
  <c r="F19" i="15"/>
  <c r="C19" i="15"/>
  <c r="C18" i="15"/>
  <c r="F18" i="15" s="1"/>
  <c r="C17" i="15"/>
  <c r="F17" i="15" s="1"/>
  <c r="F16" i="15"/>
  <c r="C16" i="15"/>
  <c r="C15" i="15"/>
  <c r="F15" i="15" s="1"/>
  <c r="C14" i="15"/>
  <c r="F14" i="15" s="1"/>
  <c r="C13" i="15"/>
  <c r="F13" i="15" s="1"/>
  <c r="C12" i="15"/>
  <c r="F12" i="15" s="1"/>
  <c r="F11" i="15"/>
  <c r="C11" i="15"/>
  <c r="F10" i="15"/>
  <c r="C10" i="15"/>
  <c r="C9" i="15"/>
  <c r="F9" i="15" s="1"/>
  <c r="C8" i="15"/>
  <c r="F8" i="15" s="1"/>
  <c r="F7" i="15"/>
  <c r="C7" i="15"/>
  <c r="F6" i="15"/>
  <c r="C6" i="15"/>
  <c r="C5" i="15"/>
  <c r="F5" i="15" s="1"/>
  <c r="F4" i="15"/>
  <c r="C4" i="15"/>
  <c r="C3" i="15"/>
  <c r="F3" i="15" s="1"/>
  <c r="F2" i="15"/>
  <c r="C2" i="15"/>
  <c r="C97" i="14"/>
  <c r="F97" i="14" s="1"/>
  <c r="C96" i="14"/>
  <c r="F96" i="14" s="1"/>
  <c r="C95" i="14"/>
  <c r="F95" i="14" s="1"/>
  <c r="C94" i="14"/>
  <c r="F94" i="14" s="1"/>
  <c r="C93" i="14"/>
  <c r="F93" i="14" s="1"/>
  <c r="C92" i="14"/>
  <c r="F92" i="14" s="1"/>
  <c r="F91" i="14"/>
  <c r="C91" i="14"/>
  <c r="F90" i="14"/>
  <c r="C90" i="14"/>
  <c r="C89" i="14"/>
  <c r="F89" i="14" s="1"/>
  <c r="C88" i="14"/>
  <c r="F88" i="14" s="1"/>
  <c r="C87" i="14"/>
  <c r="F87" i="14" s="1"/>
  <c r="C86" i="14"/>
  <c r="F86" i="14" s="1"/>
  <c r="F85" i="14"/>
  <c r="C85" i="14"/>
  <c r="F84" i="14"/>
  <c r="C84" i="14"/>
  <c r="C83" i="14"/>
  <c r="F83" i="14" s="1"/>
  <c r="F82" i="14"/>
  <c r="C82" i="14"/>
  <c r="C81" i="14"/>
  <c r="F81" i="14" s="1"/>
  <c r="C80" i="14"/>
  <c r="F80" i="14" s="1"/>
  <c r="F79" i="14"/>
  <c r="C79" i="14"/>
  <c r="F78" i="14"/>
  <c r="C78" i="14"/>
  <c r="C77" i="14"/>
  <c r="F77" i="14" s="1"/>
  <c r="F76" i="14"/>
  <c r="C76" i="14"/>
  <c r="F75" i="14"/>
  <c r="C75" i="14"/>
  <c r="C74" i="14"/>
  <c r="F74" i="14" s="1"/>
  <c r="C73" i="14"/>
  <c r="F73" i="14" s="1"/>
  <c r="C72" i="14"/>
  <c r="F72" i="14" s="1"/>
  <c r="C71" i="14"/>
  <c r="F71" i="14" s="1"/>
  <c r="F70" i="14"/>
  <c r="C70" i="14"/>
  <c r="C69" i="14"/>
  <c r="F69" i="14" s="1"/>
  <c r="F68" i="14"/>
  <c r="C68" i="14"/>
  <c r="C67" i="14"/>
  <c r="F67" i="14" s="1"/>
  <c r="C66" i="14"/>
  <c r="F66" i="14" s="1"/>
  <c r="F65" i="14"/>
  <c r="C65" i="14"/>
  <c r="C64" i="14"/>
  <c r="F64" i="14" s="1"/>
  <c r="C63" i="14"/>
  <c r="F63" i="14" s="1"/>
  <c r="C62" i="14"/>
  <c r="F62" i="14" s="1"/>
  <c r="F61" i="14"/>
  <c r="C61" i="14"/>
  <c r="F60" i="14"/>
  <c r="C60" i="14"/>
  <c r="C59" i="14"/>
  <c r="F59" i="14" s="1"/>
  <c r="F58" i="14"/>
  <c r="C58" i="14"/>
  <c r="F57" i="14"/>
  <c r="C57" i="14"/>
  <c r="F56" i="14"/>
  <c r="C56" i="14"/>
  <c r="C55" i="14"/>
  <c r="F55" i="14" s="1"/>
  <c r="C54" i="14"/>
  <c r="F54" i="14" s="1"/>
  <c r="C53" i="14"/>
  <c r="F53" i="14" s="1"/>
  <c r="C52" i="14"/>
  <c r="F52" i="14" s="1"/>
  <c r="C51" i="14"/>
  <c r="F51" i="14" s="1"/>
  <c r="F50" i="14"/>
  <c r="C50" i="14"/>
  <c r="C49" i="14"/>
  <c r="F49" i="14" s="1"/>
  <c r="C48" i="14"/>
  <c r="F48" i="14" s="1"/>
  <c r="F47" i="14"/>
  <c r="C47" i="14"/>
  <c r="F46" i="14"/>
  <c r="C46" i="14"/>
  <c r="F45" i="14"/>
  <c r="C45" i="14"/>
  <c r="F44" i="14"/>
  <c r="C44" i="14"/>
  <c r="C43" i="14"/>
  <c r="F43" i="14" s="1"/>
  <c r="F42" i="14"/>
  <c r="C42" i="14"/>
  <c r="C41" i="14"/>
  <c r="F41" i="14" s="1"/>
  <c r="F40" i="14"/>
  <c r="C40" i="14"/>
  <c r="C39" i="14"/>
  <c r="F39" i="14" s="1"/>
  <c r="C38" i="14"/>
  <c r="F38" i="14" s="1"/>
  <c r="C37" i="14"/>
  <c r="F37" i="14" s="1"/>
  <c r="F36" i="14"/>
  <c r="C36" i="14"/>
  <c r="F35" i="14"/>
  <c r="C35" i="14"/>
  <c r="C34" i="14"/>
  <c r="F34" i="14" s="1"/>
  <c r="C33" i="14"/>
  <c r="F33" i="14" s="1"/>
  <c r="C32" i="14"/>
  <c r="F32" i="14" s="1"/>
  <c r="F31" i="14"/>
  <c r="C31" i="14"/>
  <c r="C30" i="14"/>
  <c r="F30" i="14" s="1"/>
  <c r="F29" i="14"/>
  <c r="C29" i="14"/>
  <c r="F28" i="14"/>
  <c r="C28" i="14"/>
  <c r="C27" i="14"/>
  <c r="F27" i="14" s="1"/>
  <c r="F26" i="14"/>
  <c r="C26" i="14"/>
  <c r="C25" i="14"/>
  <c r="F25" i="14" s="1"/>
  <c r="C24" i="14"/>
  <c r="F24" i="14" s="1"/>
  <c r="C23" i="14"/>
  <c r="F23" i="14" s="1"/>
  <c r="C22" i="14"/>
  <c r="F22" i="14" s="1"/>
  <c r="C21" i="14"/>
  <c r="F21" i="14" s="1"/>
  <c r="F20" i="14"/>
  <c r="C20" i="14"/>
  <c r="C19" i="14"/>
  <c r="F19" i="14" s="1"/>
  <c r="C18" i="14"/>
  <c r="F18" i="14" s="1"/>
  <c r="C17" i="14"/>
  <c r="F17" i="14" s="1"/>
  <c r="C16" i="14"/>
  <c r="F16" i="14" s="1"/>
  <c r="C15" i="14"/>
  <c r="F15" i="14" s="1"/>
  <c r="F14" i="14"/>
  <c r="C14" i="14"/>
  <c r="C13" i="14"/>
  <c r="F13" i="14" s="1"/>
  <c r="C12" i="14"/>
  <c r="F12" i="14" s="1"/>
  <c r="C11" i="14"/>
  <c r="F11" i="14" s="1"/>
  <c r="C10" i="14"/>
  <c r="F10" i="14" s="1"/>
  <c r="F9" i="14"/>
  <c r="C9" i="14"/>
  <c r="C8" i="14"/>
  <c r="F8" i="14" s="1"/>
  <c r="C7" i="14"/>
  <c r="F7" i="14" s="1"/>
  <c r="C6" i="14"/>
  <c r="F6" i="14" s="1"/>
  <c r="F5" i="14"/>
  <c r="C5" i="14"/>
  <c r="F4" i="14"/>
  <c r="C4" i="14"/>
  <c r="F3" i="14"/>
  <c r="C3" i="14"/>
  <c r="C2" i="14"/>
  <c r="F2" i="14" s="1"/>
  <c r="C97" i="13"/>
  <c r="F97" i="13" s="1"/>
  <c r="F96" i="13"/>
  <c r="C96" i="13"/>
  <c r="C95" i="13"/>
  <c r="F95" i="13" s="1"/>
  <c r="C94" i="13"/>
  <c r="F94" i="13" s="1"/>
  <c r="F93" i="13"/>
  <c r="C93" i="13"/>
  <c r="C92" i="13"/>
  <c r="F92" i="13" s="1"/>
  <c r="F91" i="13"/>
  <c r="C91" i="13"/>
  <c r="F90" i="13"/>
  <c r="C90" i="13"/>
  <c r="C89" i="13"/>
  <c r="F89" i="13" s="1"/>
  <c r="C88" i="13"/>
  <c r="F88" i="13" s="1"/>
  <c r="F87" i="13"/>
  <c r="C87" i="13"/>
  <c r="F86" i="13"/>
  <c r="C86" i="13"/>
  <c r="C85" i="13"/>
  <c r="F85" i="13" s="1"/>
  <c r="F84" i="13"/>
  <c r="C84" i="13"/>
  <c r="F83" i="13"/>
  <c r="C83" i="13"/>
  <c r="F82" i="13"/>
  <c r="C82" i="13"/>
  <c r="C81" i="13"/>
  <c r="F81" i="13" s="1"/>
  <c r="C80" i="13"/>
  <c r="F80" i="13" s="1"/>
  <c r="C79" i="13"/>
  <c r="F79" i="13" s="1"/>
  <c r="C78" i="13"/>
  <c r="F78" i="13" s="1"/>
  <c r="C77" i="13"/>
  <c r="F77" i="13" s="1"/>
  <c r="F76" i="13"/>
  <c r="C76" i="13"/>
  <c r="F75" i="13"/>
  <c r="C75" i="13"/>
  <c r="C74" i="13"/>
  <c r="F74" i="13" s="1"/>
  <c r="C73" i="13"/>
  <c r="F73" i="13" s="1"/>
  <c r="C72" i="13"/>
  <c r="F72" i="13" s="1"/>
  <c r="F71" i="13"/>
  <c r="C71" i="13"/>
  <c r="F70" i="13"/>
  <c r="C70" i="13"/>
  <c r="C69" i="13"/>
  <c r="F69" i="13" s="1"/>
  <c r="F68" i="13"/>
  <c r="C68" i="13"/>
  <c r="C67" i="13"/>
  <c r="F67" i="13" s="1"/>
  <c r="F66" i="13"/>
  <c r="C66" i="13"/>
  <c r="C65" i="13"/>
  <c r="F65" i="13" s="1"/>
  <c r="C64" i="13"/>
  <c r="F64" i="13" s="1"/>
  <c r="C63" i="13"/>
  <c r="F63" i="13" s="1"/>
  <c r="C62" i="13"/>
  <c r="F62" i="13" s="1"/>
  <c r="C61" i="13"/>
  <c r="F61" i="13" s="1"/>
  <c r="F60" i="13"/>
  <c r="C60" i="13"/>
  <c r="C59" i="13"/>
  <c r="F59" i="13" s="1"/>
  <c r="C58" i="13"/>
  <c r="F58" i="13" s="1"/>
  <c r="C57" i="13"/>
  <c r="F57" i="13" s="1"/>
  <c r="F56" i="13"/>
  <c r="C56" i="13"/>
  <c r="C55" i="13"/>
  <c r="F55" i="13" s="1"/>
  <c r="F54" i="13"/>
  <c r="C54" i="13"/>
  <c r="C53" i="13"/>
  <c r="F53" i="13" s="1"/>
  <c r="F52" i="13"/>
  <c r="C52" i="13"/>
  <c r="C51" i="13"/>
  <c r="F51" i="13" s="1"/>
  <c r="C50" i="13"/>
  <c r="F50" i="13" s="1"/>
  <c r="F49" i="13"/>
  <c r="C49" i="13"/>
  <c r="C48" i="13"/>
  <c r="F48" i="13" s="1"/>
  <c r="C47" i="13"/>
  <c r="F47" i="13" s="1"/>
  <c r="C46" i="13"/>
  <c r="F46" i="13" s="1"/>
  <c r="F45" i="13"/>
  <c r="C45" i="13"/>
  <c r="C44" i="13"/>
  <c r="F44" i="13" s="1"/>
  <c r="C43" i="13"/>
  <c r="F43" i="13" s="1"/>
  <c r="F42" i="13"/>
  <c r="C42" i="13"/>
  <c r="F41" i="13"/>
  <c r="C41" i="13"/>
  <c r="F40" i="13"/>
  <c r="C40" i="13"/>
  <c r="C39" i="13"/>
  <c r="F39" i="13" s="1"/>
  <c r="C38" i="13"/>
  <c r="F38" i="13" s="1"/>
  <c r="C37" i="13"/>
  <c r="F37" i="13" s="1"/>
  <c r="C36" i="13"/>
  <c r="F36" i="13" s="1"/>
  <c r="F35" i="13"/>
  <c r="C35" i="13"/>
  <c r="C34" i="13"/>
  <c r="F34" i="13" s="1"/>
  <c r="F33" i="13"/>
  <c r="C33" i="13"/>
  <c r="C32" i="13"/>
  <c r="F32" i="13" s="1"/>
  <c r="C31" i="13"/>
  <c r="F31" i="13" s="1"/>
  <c r="F30" i="13"/>
  <c r="C30" i="13"/>
  <c r="C29" i="13"/>
  <c r="F29" i="13" s="1"/>
  <c r="C28" i="13"/>
  <c r="F28" i="13" s="1"/>
  <c r="F27" i="13"/>
  <c r="C27" i="13"/>
  <c r="F26" i="13"/>
  <c r="C26" i="13"/>
  <c r="C25" i="13"/>
  <c r="F25" i="13" s="1"/>
  <c r="C24" i="13"/>
  <c r="F24" i="13" s="1"/>
  <c r="C23" i="13"/>
  <c r="F23" i="13" s="1"/>
  <c r="C22" i="13"/>
  <c r="F22" i="13" s="1"/>
  <c r="F21" i="13"/>
  <c r="C21" i="13"/>
  <c r="C20" i="13"/>
  <c r="F20" i="13" s="1"/>
  <c r="F19" i="13"/>
  <c r="C19" i="13"/>
  <c r="F18" i="13"/>
  <c r="C18" i="13"/>
  <c r="F17" i="13"/>
  <c r="C17" i="13"/>
  <c r="C16" i="13"/>
  <c r="F16" i="13" s="1"/>
  <c r="F15" i="13"/>
  <c r="C15" i="13"/>
  <c r="C14" i="13"/>
  <c r="F14" i="13" s="1"/>
  <c r="C13" i="13"/>
  <c r="F13" i="13" s="1"/>
  <c r="F12" i="13"/>
  <c r="C12" i="13"/>
  <c r="C11" i="13"/>
  <c r="F11" i="13" s="1"/>
  <c r="C10" i="13"/>
  <c r="F10" i="13" s="1"/>
  <c r="F9" i="13"/>
  <c r="C9" i="13"/>
  <c r="C8" i="13"/>
  <c r="F8" i="13" s="1"/>
  <c r="C7" i="13"/>
  <c r="F7" i="13" s="1"/>
  <c r="C6" i="13"/>
  <c r="F6" i="13" s="1"/>
  <c r="C5" i="13"/>
  <c r="F5" i="13" s="1"/>
  <c r="F4" i="13"/>
  <c r="C4" i="13"/>
  <c r="F3" i="13"/>
  <c r="C3" i="13"/>
  <c r="C2" i="13"/>
  <c r="F2" i="13" s="1"/>
  <c r="C97" i="12"/>
  <c r="F97" i="12" s="1"/>
  <c r="F96" i="12"/>
  <c r="C96" i="12"/>
  <c r="C95" i="12"/>
  <c r="F95" i="12" s="1"/>
  <c r="F94" i="12"/>
  <c r="C94" i="12"/>
  <c r="C93" i="12"/>
  <c r="F93" i="12" s="1"/>
  <c r="F92" i="12"/>
  <c r="C92" i="12"/>
  <c r="C91" i="12"/>
  <c r="F91" i="12" s="1"/>
  <c r="C90" i="12"/>
  <c r="F90" i="12" s="1"/>
  <c r="C89" i="12"/>
  <c r="F89" i="12" s="1"/>
  <c r="C88" i="12"/>
  <c r="F88" i="12" s="1"/>
  <c r="C87" i="12"/>
  <c r="F87" i="12" s="1"/>
  <c r="C86" i="12"/>
  <c r="F86" i="12" s="1"/>
  <c r="C85" i="12"/>
  <c r="F85" i="12" s="1"/>
  <c r="C84" i="12"/>
  <c r="F84" i="12" s="1"/>
  <c r="F83" i="12"/>
  <c r="C83" i="12"/>
  <c r="C82" i="12"/>
  <c r="F82" i="12" s="1"/>
  <c r="F81" i="12"/>
  <c r="C81" i="12"/>
  <c r="F80" i="12"/>
  <c r="C80" i="12"/>
  <c r="C79" i="12"/>
  <c r="F79" i="12" s="1"/>
  <c r="F78" i="12"/>
  <c r="C78" i="12"/>
  <c r="C77" i="12"/>
  <c r="F77" i="12" s="1"/>
  <c r="C76" i="12"/>
  <c r="F76" i="12" s="1"/>
  <c r="F75" i="12"/>
  <c r="C75" i="12"/>
  <c r="C74" i="12"/>
  <c r="F74" i="12" s="1"/>
  <c r="C73" i="12"/>
  <c r="F73" i="12" s="1"/>
  <c r="C72" i="12"/>
  <c r="F72" i="12" s="1"/>
  <c r="F71" i="12"/>
  <c r="C71" i="12"/>
  <c r="F70" i="12"/>
  <c r="C70" i="12"/>
  <c r="C69" i="12"/>
  <c r="F69" i="12" s="1"/>
  <c r="F68" i="12"/>
  <c r="C68" i="12"/>
  <c r="C67" i="12"/>
  <c r="F67" i="12" s="1"/>
  <c r="F66" i="12"/>
  <c r="C66" i="12"/>
  <c r="C65" i="12"/>
  <c r="F65" i="12" s="1"/>
  <c r="C64" i="12"/>
  <c r="F64" i="12" s="1"/>
  <c r="C63" i="12"/>
  <c r="F63" i="12" s="1"/>
  <c r="C62" i="12"/>
  <c r="F62" i="12" s="1"/>
  <c r="F61" i="12"/>
  <c r="C61" i="12"/>
  <c r="F60" i="12"/>
  <c r="C60" i="12"/>
  <c r="F59" i="12"/>
  <c r="C59" i="12"/>
  <c r="F58" i="12"/>
  <c r="C58" i="12"/>
  <c r="C57" i="12"/>
  <c r="F57" i="12" s="1"/>
  <c r="F56" i="12"/>
  <c r="C56" i="12"/>
  <c r="C55" i="12"/>
  <c r="F55" i="12" s="1"/>
  <c r="C54" i="12"/>
  <c r="F54" i="12" s="1"/>
  <c r="C53" i="12"/>
  <c r="F53" i="12" s="1"/>
  <c r="F52" i="12"/>
  <c r="C52" i="12"/>
  <c r="C51" i="12"/>
  <c r="F51" i="12" s="1"/>
  <c r="C50" i="12"/>
  <c r="F50" i="12" s="1"/>
  <c r="C49" i="12"/>
  <c r="F49" i="12" s="1"/>
  <c r="C48" i="12"/>
  <c r="F48" i="12" s="1"/>
  <c r="C47" i="12"/>
  <c r="F47" i="12" s="1"/>
  <c r="F46" i="12"/>
  <c r="C46" i="12"/>
  <c r="C45" i="12"/>
  <c r="F45" i="12" s="1"/>
  <c r="F44" i="12"/>
  <c r="C44" i="12"/>
  <c r="F43" i="12"/>
  <c r="C43" i="12"/>
  <c r="F42" i="12"/>
  <c r="C42" i="12"/>
  <c r="C41" i="12"/>
  <c r="F41" i="12" s="1"/>
  <c r="C40" i="12"/>
  <c r="F40" i="12" s="1"/>
  <c r="F39" i="12"/>
  <c r="C39" i="12"/>
  <c r="F38" i="12"/>
  <c r="C38" i="12"/>
  <c r="F37" i="12"/>
  <c r="C37" i="12"/>
  <c r="F36" i="12"/>
  <c r="C36" i="12"/>
  <c r="C35" i="12"/>
  <c r="F35" i="12" s="1"/>
  <c r="C34" i="12"/>
  <c r="F34" i="12" s="1"/>
  <c r="C33" i="12"/>
  <c r="F33" i="12" s="1"/>
  <c r="C32" i="12"/>
  <c r="F32" i="12" s="1"/>
  <c r="C31" i="12"/>
  <c r="F31" i="12" s="1"/>
  <c r="C30" i="12"/>
  <c r="F30" i="12" s="1"/>
  <c r="C29" i="12"/>
  <c r="F29" i="12" s="1"/>
  <c r="F28" i="12"/>
  <c r="C28" i="12"/>
  <c r="F27" i="12"/>
  <c r="C27" i="12"/>
  <c r="C26" i="12"/>
  <c r="F26" i="12" s="1"/>
  <c r="C25" i="12"/>
  <c r="F25" i="12" s="1"/>
  <c r="F24" i="12"/>
  <c r="C24" i="12"/>
  <c r="F23" i="12"/>
  <c r="C23" i="12"/>
  <c r="C22" i="12"/>
  <c r="F22" i="12" s="1"/>
  <c r="C21" i="12"/>
  <c r="F21" i="12" s="1"/>
  <c r="C20" i="12"/>
  <c r="F20" i="12" s="1"/>
  <c r="C19" i="12"/>
  <c r="F19" i="12" s="1"/>
  <c r="C18" i="12"/>
  <c r="F18" i="12" s="1"/>
  <c r="C17" i="12"/>
  <c r="F17" i="12" s="1"/>
  <c r="C16" i="12"/>
  <c r="F16" i="12" s="1"/>
  <c r="C15" i="12"/>
  <c r="F15" i="12" s="1"/>
  <c r="C14" i="12"/>
  <c r="F14" i="12" s="1"/>
  <c r="C13" i="12"/>
  <c r="F13" i="12" s="1"/>
  <c r="C12" i="12"/>
  <c r="F12" i="12" s="1"/>
  <c r="C11" i="12"/>
  <c r="F11" i="12" s="1"/>
  <c r="F10" i="12"/>
  <c r="C10" i="12"/>
  <c r="F9" i="12"/>
  <c r="C9" i="12"/>
  <c r="C8" i="12"/>
  <c r="F8" i="12" s="1"/>
  <c r="F7" i="12"/>
  <c r="C7" i="12"/>
  <c r="C6" i="12"/>
  <c r="F6" i="12" s="1"/>
  <c r="C5" i="12"/>
  <c r="F5" i="12" s="1"/>
  <c r="C4" i="12"/>
  <c r="F4" i="12" s="1"/>
  <c r="C3" i="12"/>
  <c r="F3" i="12" s="1"/>
  <c r="C2" i="12"/>
  <c r="F2" i="12" s="1"/>
  <c r="C97" i="11"/>
  <c r="F97" i="11" s="1"/>
  <c r="F96" i="11"/>
  <c r="C96" i="11"/>
  <c r="C95" i="11"/>
  <c r="F95" i="11" s="1"/>
  <c r="C94" i="11"/>
  <c r="F94" i="11" s="1"/>
  <c r="C93" i="11"/>
  <c r="F93" i="11" s="1"/>
  <c r="F92" i="11"/>
  <c r="C92" i="11"/>
  <c r="F91" i="11"/>
  <c r="C91" i="11"/>
  <c r="C90" i="11"/>
  <c r="F90" i="11" s="1"/>
  <c r="C89" i="11"/>
  <c r="F89" i="11" s="1"/>
  <c r="C88" i="11"/>
  <c r="F88" i="11" s="1"/>
  <c r="C87" i="11"/>
  <c r="F87" i="11" s="1"/>
  <c r="C86" i="11"/>
  <c r="F86" i="11" s="1"/>
  <c r="F85" i="11"/>
  <c r="C85" i="11"/>
  <c r="C84" i="11"/>
  <c r="F84" i="11" s="1"/>
  <c r="C83" i="11"/>
  <c r="F83" i="11" s="1"/>
  <c r="C82" i="11"/>
  <c r="F82" i="11" s="1"/>
  <c r="C81" i="11"/>
  <c r="F81" i="11" s="1"/>
  <c r="F80" i="11"/>
  <c r="C80" i="11"/>
  <c r="C79" i="11"/>
  <c r="F79" i="11" s="1"/>
  <c r="F78" i="11"/>
  <c r="C78" i="11"/>
  <c r="F77" i="11"/>
  <c r="C77" i="11"/>
  <c r="C76" i="11"/>
  <c r="F76" i="11" s="1"/>
  <c r="F75" i="11"/>
  <c r="C75" i="11"/>
  <c r="C74" i="11"/>
  <c r="F74" i="11" s="1"/>
  <c r="C73" i="11"/>
  <c r="F73" i="11" s="1"/>
  <c r="C72" i="11"/>
  <c r="F72" i="11" s="1"/>
  <c r="C71" i="11"/>
  <c r="F71" i="11" s="1"/>
  <c r="F70" i="11"/>
  <c r="C70" i="11"/>
  <c r="C69" i="11"/>
  <c r="F69" i="11" s="1"/>
  <c r="F68" i="11"/>
  <c r="C68" i="11"/>
  <c r="F67" i="11"/>
  <c r="C67" i="11"/>
  <c r="C66" i="11"/>
  <c r="F66" i="11" s="1"/>
  <c r="C65" i="11"/>
  <c r="F65" i="11" s="1"/>
  <c r="F64" i="11"/>
  <c r="C64" i="11"/>
  <c r="F63" i="11"/>
  <c r="C63" i="11"/>
  <c r="C62" i="11"/>
  <c r="F62" i="11" s="1"/>
  <c r="C61" i="11"/>
  <c r="F61" i="11" s="1"/>
  <c r="C60" i="11"/>
  <c r="F60" i="11" s="1"/>
  <c r="F59" i="11"/>
  <c r="C59" i="11"/>
  <c r="C58" i="11"/>
  <c r="F58" i="11" s="1"/>
  <c r="C57" i="11"/>
  <c r="F57" i="11" s="1"/>
  <c r="C56" i="11"/>
  <c r="F56" i="11" s="1"/>
  <c r="C55" i="11"/>
  <c r="F55" i="11" s="1"/>
  <c r="F54" i="11"/>
  <c r="C54" i="11"/>
  <c r="C53" i="11"/>
  <c r="F53" i="11" s="1"/>
  <c r="C52" i="11"/>
  <c r="F52" i="11" s="1"/>
  <c r="C51" i="11"/>
  <c r="F51" i="11" s="1"/>
  <c r="F50" i="11"/>
  <c r="C50" i="11"/>
  <c r="C49" i="11"/>
  <c r="F49" i="11" s="1"/>
  <c r="C48" i="11"/>
  <c r="F48" i="11" s="1"/>
  <c r="F47" i="11"/>
  <c r="C47" i="11"/>
  <c r="C46" i="11"/>
  <c r="F46" i="11" s="1"/>
  <c r="C45" i="11"/>
  <c r="F45" i="11" s="1"/>
  <c r="C44" i="11"/>
  <c r="F44" i="11" s="1"/>
  <c r="C43" i="11"/>
  <c r="F43" i="11" s="1"/>
  <c r="F42" i="11"/>
  <c r="C42" i="11"/>
  <c r="F41" i="11"/>
  <c r="C41" i="11"/>
  <c r="C40" i="11"/>
  <c r="F40" i="11" s="1"/>
  <c r="F39" i="11"/>
  <c r="C39" i="11"/>
  <c r="C38" i="11"/>
  <c r="F38" i="11" s="1"/>
  <c r="C37" i="11"/>
  <c r="F37" i="11" s="1"/>
  <c r="F36" i="11"/>
  <c r="C36" i="11"/>
  <c r="F35" i="11"/>
  <c r="C35" i="11"/>
  <c r="F34" i="11"/>
  <c r="C34" i="11"/>
  <c r="C33" i="11"/>
  <c r="F33" i="11" s="1"/>
  <c r="C32" i="11"/>
  <c r="F32" i="11" s="1"/>
  <c r="F31" i="11"/>
  <c r="C31" i="11"/>
  <c r="F30" i="11"/>
  <c r="C30" i="11"/>
  <c r="C29" i="11"/>
  <c r="F29" i="11" s="1"/>
  <c r="C28" i="11"/>
  <c r="F28" i="11" s="1"/>
  <c r="C27" i="11"/>
  <c r="F27" i="11" s="1"/>
  <c r="C26" i="11"/>
  <c r="F26" i="11" s="1"/>
  <c r="F25" i="11"/>
  <c r="C25" i="11"/>
  <c r="C24" i="11"/>
  <c r="F24" i="11" s="1"/>
  <c r="F23" i="11"/>
  <c r="C23" i="11"/>
  <c r="F22" i="11"/>
  <c r="C22" i="11"/>
  <c r="C21" i="11"/>
  <c r="F21" i="11" s="1"/>
  <c r="C20" i="11"/>
  <c r="F20" i="11" s="1"/>
  <c r="C19" i="11"/>
  <c r="F19" i="11" s="1"/>
  <c r="C18" i="11"/>
  <c r="F18" i="11" s="1"/>
  <c r="C17" i="11"/>
  <c r="F17" i="11" s="1"/>
  <c r="C16" i="11"/>
  <c r="F16" i="11" s="1"/>
  <c r="C15" i="11"/>
  <c r="F15" i="11" s="1"/>
  <c r="C14" i="11"/>
  <c r="F14" i="11" s="1"/>
  <c r="C13" i="11"/>
  <c r="F13" i="11" s="1"/>
  <c r="C12" i="11"/>
  <c r="F12" i="11" s="1"/>
  <c r="F11" i="11"/>
  <c r="C11" i="11"/>
  <c r="C10" i="11"/>
  <c r="F10" i="11" s="1"/>
  <c r="F9" i="11"/>
  <c r="C9" i="11"/>
  <c r="F8" i="11"/>
  <c r="C8" i="11"/>
  <c r="C7" i="11"/>
  <c r="F7" i="11" s="1"/>
  <c r="C6" i="11"/>
  <c r="F6" i="11" s="1"/>
  <c r="C5" i="11"/>
  <c r="F5" i="11" s="1"/>
  <c r="C4" i="11"/>
  <c r="F4" i="11" s="1"/>
  <c r="F3" i="11"/>
  <c r="C3" i="11"/>
  <c r="C2" i="11"/>
  <c r="F2" i="11" s="1"/>
  <c r="F97" i="10"/>
  <c r="C97" i="10"/>
  <c r="C96" i="10"/>
  <c r="F96" i="10" s="1"/>
  <c r="C95" i="10"/>
  <c r="F95" i="10" s="1"/>
  <c r="F94" i="10"/>
  <c r="C94" i="10"/>
  <c r="C93" i="10"/>
  <c r="F93" i="10" s="1"/>
  <c r="C92" i="10"/>
  <c r="F92" i="10" s="1"/>
  <c r="C91" i="10"/>
  <c r="F91" i="10" s="1"/>
  <c r="F90" i="10"/>
  <c r="C90" i="10"/>
  <c r="C89" i="10"/>
  <c r="F89" i="10" s="1"/>
  <c r="F88" i="10"/>
  <c r="C88" i="10"/>
  <c r="C87" i="10"/>
  <c r="F87" i="10" s="1"/>
  <c r="C86" i="10"/>
  <c r="F86" i="10" s="1"/>
  <c r="F85" i="10"/>
  <c r="C85" i="10"/>
  <c r="F84" i="10"/>
  <c r="C84" i="10"/>
  <c r="F83" i="10"/>
  <c r="C83" i="10"/>
  <c r="C82" i="10"/>
  <c r="F82" i="10" s="1"/>
  <c r="C81" i="10"/>
  <c r="F81" i="10" s="1"/>
  <c r="C80" i="10"/>
  <c r="F80" i="10" s="1"/>
  <c r="C79" i="10"/>
  <c r="F79" i="10" s="1"/>
  <c r="C78" i="10"/>
  <c r="F78" i="10" s="1"/>
  <c r="C77" i="10"/>
  <c r="F77" i="10" s="1"/>
  <c r="F76" i="10"/>
  <c r="C76" i="10"/>
  <c r="C75" i="10"/>
  <c r="F75" i="10" s="1"/>
  <c r="C74" i="10"/>
  <c r="F74" i="10" s="1"/>
  <c r="F73" i="10"/>
  <c r="C73" i="10"/>
  <c r="C72" i="10"/>
  <c r="F72" i="10" s="1"/>
  <c r="F71" i="10"/>
  <c r="C71" i="10"/>
  <c r="C70" i="10"/>
  <c r="F70" i="10" s="1"/>
  <c r="C69" i="10"/>
  <c r="F69" i="10" s="1"/>
  <c r="F68" i="10"/>
  <c r="C68" i="10"/>
  <c r="C67" i="10"/>
  <c r="F67" i="10" s="1"/>
  <c r="C66" i="10"/>
  <c r="F66" i="10" s="1"/>
  <c r="F65" i="10"/>
  <c r="C65" i="10"/>
  <c r="F64" i="10"/>
  <c r="C64" i="10"/>
  <c r="F63" i="10"/>
  <c r="C63" i="10"/>
  <c r="F62" i="10"/>
  <c r="C62" i="10"/>
  <c r="C61" i="10"/>
  <c r="F61" i="10" s="1"/>
  <c r="C60" i="10"/>
  <c r="F60" i="10" s="1"/>
  <c r="C59" i="10"/>
  <c r="F59" i="10" s="1"/>
  <c r="C58" i="10"/>
  <c r="F58" i="10" s="1"/>
  <c r="F57" i="10"/>
  <c r="C57" i="10"/>
  <c r="C56" i="10"/>
  <c r="F56" i="10" s="1"/>
  <c r="F55" i="10"/>
  <c r="C55" i="10"/>
  <c r="C54" i="10"/>
  <c r="F54" i="10" s="1"/>
  <c r="C53" i="10"/>
  <c r="F53" i="10" s="1"/>
  <c r="C52" i="10"/>
  <c r="F52" i="10" s="1"/>
  <c r="C51" i="10"/>
  <c r="F51" i="10" s="1"/>
  <c r="F50" i="10"/>
  <c r="C50" i="10"/>
  <c r="F49" i="10"/>
  <c r="C49" i="10"/>
  <c r="F48" i="10"/>
  <c r="C48" i="10"/>
  <c r="C47" i="10"/>
  <c r="F47" i="10" s="1"/>
  <c r="C46" i="10"/>
  <c r="F46" i="10" s="1"/>
  <c r="C45" i="10"/>
  <c r="F45" i="10" s="1"/>
  <c r="C44" i="10"/>
  <c r="F44" i="10" s="1"/>
  <c r="C43" i="10"/>
  <c r="F43" i="10" s="1"/>
  <c r="C42" i="10"/>
  <c r="F42" i="10" s="1"/>
  <c r="F41" i="10"/>
  <c r="C41" i="10"/>
  <c r="C40" i="10"/>
  <c r="F40" i="10" s="1"/>
  <c r="F39" i="10"/>
  <c r="C39" i="10"/>
  <c r="C38" i="10"/>
  <c r="F38" i="10" s="1"/>
  <c r="C37" i="10"/>
  <c r="F37" i="10" s="1"/>
  <c r="F36" i="10"/>
  <c r="C36" i="10"/>
  <c r="C35" i="10"/>
  <c r="F35" i="10" s="1"/>
  <c r="F34" i="10"/>
  <c r="C34" i="10"/>
  <c r="F33" i="10"/>
  <c r="C33" i="10"/>
  <c r="F32" i="10"/>
  <c r="C32" i="10"/>
  <c r="C31" i="10"/>
  <c r="F31" i="10" s="1"/>
  <c r="C30" i="10"/>
  <c r="F30" i="10" s="1"/>
  <c r="C29" i="10"/>
  <c r="F29" i="10" s="1"/>
  <c r="F28" i="10"/>
  <c r="C28" i="10"/>
  <c r="C27" i="10"/>
  <c r="F27" i="10" s="1"/>
  <c r="C26" i="10"/>
  <c r="F26" i="10" s="1"/>
  <c r="C25" i="10"/>
  <c r="F25" i="10" s="1"/>
  <c r="C24" i="10"/>
  <c r="F24" i="10" s="1"/>
  <c r="C23" i="10"/>
  <c r="F23" i="10" s="1"/>
  <c r="F22" i="10"/>
  <c r="C22" i="10"/>
  <c r="C21" i="10"/>
  <c r="F21" i="10" s="1"/>
  <c r="F20" i="10"/>
  <c r="C20" i="10"/>
  <c r="F19" i="10"/>
  <c r="C19" i="10"/>
  <c r="C18" i="10"/>
  <c r="F18" i="10" s="1"/>
  <c r="C17" i="10"/>
  <c r="F17" i="10" s="1"/>
  <c r="C16" i="10"/>
  <c r="F16" i="10" s="1"/>
  <c r="C15" i="10"/>
  <c r="F15" i="10" s="1"/>
  <c r="F14" i="10"/>
  <c r="C14" i="10"/>
  <c r="C13" i="10"/>
  <c r="F13" i="10" s="1"/>
  <c r="C12" i="10"/>
  <c r="F12" i="10" s="1"/>
  <c r="C11" i="10"/>
  <c r="F11" i="10" s="1"/>
  <c r="F10" i="10"/>
  <c r="C10" i="10"/>
  <c r="C9" i="10"/>
  <c r="F9" i="10" s="1"/>
  <c r="C8" i="10"/>
  <c r="F8" i="10" s="1"/>
  <c r="C7" i="10"/>
  <c r="F7" i="10" s="1"/>
  <c r="F6" i="10"/>
  <c r="C6" i="10"/>
  <c r="F5" i="10"/>
  <c r="C5" i="10"/>
  <c r="C4" i="10"/>
  <c r="F4" i="10" s="1"/>
  <c r="C3" i="10"/>
  <c r="F3" i="10" s="1"/>
  <c r="C2" i="10"/>
  <c r="F2" i="10" s="1"/>
  <c r="C97" i="9"/>
  <c r="F97" i="9" s="1"/>
  <c r="C96" i="9"/>
  <c r="F96" i="9" s="1"/>
  <c r="F95" i="9"/>
  <c r="C95" i="9"/>
  <c r="C94" i="9"/>
  <c r="F94" i="9" s="1"/>
  <c r="C93" i="9"/>
  <c r="F93" i="9" s="1"/>
  <c r="C92" i="9"/>
  <c r="F92" i="9" s="1"/>
  <c r="C91" i="9"/>
  <c r="F91" i="9" s="1"/>
  <c r="C90" i="9"/>
  <c r="F90" i="9" s="1"/>
  <c r="C89" i="9"/>
  <c r="F89" i="9" s="1"/>
  <c r="F88" i="9"/>
  <c r="C88" i="9"/>
  <c r="C87" i="9"/>
  <c r="F87" i="9" s="1"/>
  <c r="F86" i="9"/>
  <c r="C86" i="9"/>
  <c r="C85" i="9"/>
  <c r="F85" i="9" s="1"/>
  <c r="C84" i="9"/>
  <c r="F84" i="9" s="1"/>
  <c r="C83" i="9"/>
  <c r="F83" i="9" s="1"/>
  <c r="F82" i="9"/>
  <c r="C82" i="9"/>
  <c r="F81" i="9"/>
  <c r="C81" i="9"/>
  <c r="C80" i="9"/>
  <c r="F80" i="9" s="1"/>
  <c r="C79" i="9"/>
  <c r="F79" i="9" s="1"/>
  <c r="F78" i="9"/>
  <c r="C78" i="9"/>
  <c r="F77" i="9"/>
  <c r="C77" i="9"/>
  <c r="C76" i="9"/>
  <c r="F76" i="9" s="1"/>
  <c r="C75" i="9"/>
  <c r="F75" i="9" s="1"/>
  <c r="F74" i="9"/>
  <c r="C74" i="9"/>
  <c r="C73" i="9"/>
  <c r="F73" i="9" s="1"/>
  <c r="F72" i="9"/>
  <c r="C72" i="9"/>
  <c r="C71" i="9"/>
  <c r="F71" i="9" s="1"/>
  <c r="C70" i="9"/>
  <c r="F70" i="9" s="1"/>
  <c r="F69" i="9"/>
  <c r="C69" i="9"/>
  <c r="F68" i="9"/>
  <c r="C68" i="9"/>
  <c r="C67" i="9"/>
  <c r="F67" i="9" s="1"/>
  <c r="C66" i="9"/>
  <c r="F66" i="9" s="1"/>
  <c r="C65" i="9"/>
  <c r="F65" i="9" s="1"/>
  <c r="C64" i="9"/>
  <c r="F64" i="9" s="1"/>
  <c r="C63" i="9"/>
  <c r="F63" i="9" s="1"/>
  <c r="C62" i="9"/>
  <c r="F62" i="9" s="1"/>
  <c r="C61" i="9"/>
  <c r="F61" i="9" s="1"/>
  <c r="F60" i="9"/>
  <c r="C60" i="9"/>
  <c r="C59" i="9"/>
  <c r="F59" i="9" s="1"/>
  <c r="C58" i="9"/>
  <c r="F58" i="9" s="1"/>
  <c r="C57" i="9"/>
  <c r="F57" i="9" s="1"/>
  <c r="C56" i="9"/>
  <c r="F56" i="9" s="1"/>
  <c r="C55" i="9"/>
  <c r="F55" i="9" s="1"/>
  <c r="C54" i="9"/>
  <c r="F54" i="9" s="1"/>
  <c r="F53" i="9"/>
  <c r="C53" i="9"/>
  <c r="C52" i="9"/>
  <c r="F52" i="9" s="1"/>
  <c r="F51" i="9"/>
  <c r="C51" i="9"/>
  <c r="F50" i="9"/>
  <c r="C50" i="9"/>
  <c r="C49" i="9"/>
  <c r="F49" i="9" s="1"/>
  <c r="F48" i="9"/>
  <c r="C48" i="9"/>
  <c r="C47" i="9"/>
  <c r="F47" i="9" s="1"/>
  <c r="F46" i="9"/>
  <c r="C46" i="9"/>
  <c r="C45" i="9"/>
  <c r="F45" i="9" s="1"/>
  <c r="C44" i="9"/>
  <c r="F44" i="9" s="1"/>
  <c r="C43" i="9"/>
  <c r="F43" i="9" s="1"/>
  <c r="C42" i="9"/>
  <c r="F42" i="9" s="1"/>
  <c r="C41" i="9"/>
  <c r="F41" i="9" s="1"/>
  <c r="C40" i="9"/>
  <c r="F40" i="9" s="1"/>
  <c r="F39" i="9"/>
  <c r="C39" i="9"/>
  <c r="C38" i="9"/>
  <c r="F38" i="9" s="1"/>
  <c r="C37" i="9"/>
  <c r="F37" i="9" s="1"/>
  <c r="F36" i="9"/>
  <c r="C36" i="9"/>
  <c r="F35" i="9"/>
  <c r="C35" i="9"/>
  <c r="C34" i="9"/>
  <c r="F34" i="9" s="1"/>
  <c r="C33" i="9"/>
  <c r="F33" i="9" s="1"/>
  <c r="F32" i="9"/>
  <c r="C32" i="9"/>
  <c r="C31" i="9"/>
  <c r="F31" i="9" s="1"/>
  <c r="C30" i="9"/>
  <c r="F30" i="9" s="1"/>
  <c r="C29" i="9"/>
  <c r="F29" i="9" s="1"/>
  <c r="C28" i="9"/>
  <c r="F28" i="9" s="1"/>
  <c r="F27" i="9"/>
  <c r="C27" i="9"/>
  <c r="C26" i="9"/>
  <c r="F26" i="9" s="1"/>
  <c r="C25" i="9"/>
  <c r="F25" i="9" s="1"/>
  <c r="F24" i="9"/>
  <c r="C24" i="9"/>
  <c r="F23" i="9"/>
  <c r="C23" i="9"/>
  <c r="C22" i="9"/>
  <c r="F22" i="9" s="1"/>
  <c r="F21" i="9"/>
  <c r="C21" i="9"/>
  <c r="F20" i="9"/>
  <c r="C20" i="9"/>
  <c r="F19" i="9"/>
  <c r="C19" i="9"/>
  <c r="F18" i="9"/>
  <c r="C18" i="9"/>
  <c r="F17" i="9"/>
  <c r="C17" i="9"/>
  <c r="F16" i="9"/>
  <c r="C16" i="9"/>
  <c r="C15" i="9"/>
  <c r="F15" i="9" s="1"/>
  <c r="C14" i="9"/>
  <c r="F14" i="9" s="1"/>
  <c r="C13" i="9"/>
  <c r="F13" i="9" s="1"/>
  <c r="F12" i="9"/>
  <c r="C12" i="9"/>
  <c r="C11" i="9"/>
  <c r="F11" i="9" s="1"/>
  <c r="C10" i="9"/>
  <c r="F10" i="9" s="1"/>
  <c r="C9" i="9"/>
  <c r="F9" i="9" s="1"/>
  <c r="C8" i="9"/>
  <c r="F8" i="9" s="1"/>
  <c r="F7" i="9"/>
  <c r="C7" i="9"/>
  <c r="C6" i="9"/>
  <c r="F6" i="9" s="1"/>
  <c r="C5" i="9"/>
  <c r="F5" i="9" s="1"/>
  <c r="F4" i="9"/>
  <c r="C4" i="9"/>
  <c r="C3" i="9"/>
  <c r="F3" i="9" s="1"/>
  <c r="C2" i="9"/>
  <c r="F2" i="9" s="1"/>
  <c r="F97" i="8"/>
  <c r="C97" i="8"/>
  <c r="C96" i="8"/>
  <c r="F96" i="8" s="1"/>
  <c r="C95" i="8"/>
  <c r="F95" i="8" s="1"/>
  <c r="C94" i="8"/>
  <c r="F94" i="8" s="1"/>
  <c r="F93" i="8"/>
  <c r="C93" i="8"/>
  <c r="C92" i="8"/>
  <c r="F92" i="8" s="1"/>
  <c r="C91" i="8"/>
  <c r="F91" i="8" s="1"/>
  <c r="C90" i="8"/>
  <c r="F90" i="8" s="1"/>
  <c r="C89" i="8"/>
  <c r="F89" i="8" s="1"/>
  <c r="C88" i="8"/>
  <c r="F88" i="8" s="1"/>
  <c r="C87" i="8"/>
  <c r="F87" i="8" s="1"/>
  <c r="F86" i="8"/>
  <c r="C86" i="8"/>
  <c r="C85" i="8"/>
  <c r="F85" i="8" s="1"/>
  <c r="C84" i="8"/>
  <c r="F84" i="8" s="1"/>
  <c r="F83" i="8"/>
  <c r="C83" i="8"/>
  <c r="C82" i="8"/>
  <c r="F82" i="8" s="1"/>
  <c r="C81" i="8"/>
  <c r="F81" i="8" s="1"/>
  <c r="C80" i="8"/>
  <c r="F80" i="8" s="1"/>
  <c r="C79" i="8"/>
  <c r="F79" i="8" s="1"/>
  <c r="F78" i="8"/>
  <c r="C78" i="8"/>
  <c r="C77" i="8"/>
  <c r="F77" i="8" s="1"/>
  <c r="C76" i="8"/>
  <c r="F76" i="8" s="1"/>
  <c r="C75" i="8"/>
  <c r="F75" i="8" s="1"/>
  <c r="F74" i="8"/>
  <c r="C74" i="8"/>
  <c r="C73" i="8"/>
  <c r="F73" i="8" s="1"/>
  <c r="F72" i="8"/>
  <c r="C72" i="8"/>
  <c r="C71" i="8"/>
  <c r="F71" i="8" s="1"/>
  <c r="C70" i="8"/>
  <c r="F70" i="8" s="1"/>
  <c r="C69" i="8"/>
  <c r="F69" i="8" s="1"/>
  <c r="C68" i="8"/>
  <c r="F68" i="8" s="1"/>
  <c r="C67" i="8"/>
  <c r="F67" i="8" s="1"/>
  <c r="F66" i="8"/>
  <c r="C66" i="8"/>
  <c r="C65" i="8"/>
  <c r="F65" i="8" s="1"/>
  <c r="C64" i="8"/>
  <c r="F64" i="8" s="1"/>
  <c r="F63" i="8"/>
  <c r="C63" i="8"/>
  <c r="C62" i="8"/>
  <c r="F62" i="8" s="1"/>
  <c r="C61" i="8"/>
  <c r="F61" i="8" s="1"/>
  <c r="C60" i="8"/>
  <c r="F60" i="8" s="1"/>
  <c r="C59" i="8"/>
  <c r="F59" i="8" s="1"/>
  <c r="F58" i="8"/>
  <c r="C58" i="8"/>
  <c r="F57" i="8"/>
  <c r="C57" i="8"/>
  <c r="C56" i="8"/>
  <c r="F56" i="8" s="1"/>
  <c r="C55" i="8"/>
  <c r="F55" i="8" s="1"/>
  <c r="C54" i="8"/>
  <c r="F54" i="8" s="1"/>
  <c r="C53" i="8"/>
  <c r="F53" i="8" s="1"/>
  <c r="C52" i="8"/>
  <c r="F52" i="8" s="1"/>
  <c r="F51" i="8"/>
  <c r="C51" i="8"/>
  <c r="F50" i="8"/>
  <c r="C50" i="8"/>
  <c r="C49" i="8"/>
  <c r="F49" i="8" s="1"/>
  <c r="C48" i="8"/>
  <c r="F48" i="8" s="1"/>
  <c r="F47" i="8"/>
  <c r="C47" i="8"/>
  <c r="C46" i="8"/>
  <c r="F46" i="8" s="1"/>
  <c r="C45" i="8"/>
  <c r="F45" i="8" s="1"/>
  <c r="F44" i="8"/>
  <c r="C44" i="8"/>
  <c r="F43" i="8"/>
  <c r="C43" i="8"/>
  <c r="C42" i="8"/>
  <c r="F42" i="8" s="1"/>
  <c r="C41" i="8"/>
  <c r="F41" i="8" s="1"/>
  <c r="F40" i="8"/>
  <c r="C40" i="8"/>
  <c r="F39" i="8"/>
  <c r="C39" i="8"/>
  <c r="C38" i="8"/>
  <c r="F38" i="8" s="1"/>
  <c r="C37" i="8"/>
  <c r="F37" i="8" s="1"/>
  <c r="F36" i="8"/>
  <c r="C36" i="8"/>
  <c r="C35" i="8"/>
  <c r="F35" i="8" s="1"/>
  <c r="C34" i="8"/>
  <c r="F34" i="8" s="1"/>
  <c r="C33" i="8"/>
  <c r="F33" i="8" s="1"/>
  <c r="C32" i="8"/>
  <c r="F32" i="8" s="1"/>
  <c r="F31" i="8"/>
  <c r="C31" i="8"/>
  <c r="F30" i="8"/>
  <c r="C30" i="8"/>
  <c r="F29" i="8"/>
  <c r="C29" i="8"/>
  <c r="C28" i="8"/>
  <c r="F28" i="8" s="1"/>
  <c r="F27" i="8"/>
  <c r="C27" i="8"/>
  <c r="C26" i="8"/>
  <c r="F26" i="8" s="1"/>
  <c r="F25" i="8"/>
  <c r="C25" i="8"/>
  <c r="F24" i="8"/>
  <c r="C24" i="8"/>
  <c r="F23" i="8"/>
  <c r="C23" i="8"/>
  <c r="C22" i="8"/>
  <c r="F22" i="8" s="1"/>
  <c r="F21" i="8"/>
  <c r="C21" i="8"/>
  <c r="F20" i="8"/>
  <c r="C20" i="8"/>
  <c r="C19" i="8"/>
  <c r="F19" i="8" s="1"/>
  <c r="C18" i="8"/>
  <c r="F18" i="8" s="1"/>
  <c r="C17" i="8"/>
  <c r="F17" i="8" s="1"/>
  <c r="F16" i="8"/>
  <c r="C16" i="8"/>
  <c r="F15" i="8"/>
  <c r="C15" i="8"/>
  <c r="C14" i="8"/>
  <c r="F14" i="8" s="1"/>
  <c r="C13" i="8"/>
  <c r="F13" i="8" s="1"/>
  <c r="C12" i="8"/>
  <c r="F12" i="8" s="1"/>
  <c r="C11" i="8"/>
  <c r="F11" i="8" s="1"/>
  <c r="C10" i="8"/>
  <c r="F10" i="8" s="1"/>
  <c r="F9" i="8"/>
  <c r="C9" i="8"/>
  <c r="F8" i="8"/>
  <c r="C8" i="8"/>
  <c r="F7" i="8"/>
  <c r="C7" i="8"/>
  <c r="C6" i="8"/>
  <c r="F6" i="8" s="1"/>
  <c r="C5" i="8"/>
  <c r="F5" i="8" s="1"/>
  <c r="F4" i="8"/>
  <c r="C4" i="8"/>
  <c r="C3" i="8"/>
  <c r="F3" i="8" s="1"/>
  <c r="F2" i="8"/>
  <c r="C2" i="8"/>
  <c r="F97" i="7"/>
  <c r="C97" i="7"/>
  <c r="C96" i="7"/>
  <c r="F96" i="7" s="1"/>
  <c r="F95" i="7"/>
  <c r="C95" i="7"/>
  <c r="F94" i="7"/>
  <c r="C94" i="7"/>
  <c r="C93" i="7"/>
  <c r="F93" i="7" s="1"/>
  <c r="C92" i="7"/>
  <c r="F92" i="7" s="1"/>
  <c r="C91" i="7"/>
  <c r="F91" i="7" s="1"/>
  <c r="C90" i="7"/>
  <c r="F90" i="7" s="1"/>
  <c r="C89" i="7"/>
  <c r="F89" i="7" s="1"/>
  <c r="F88" i="7"/>
  <c r="C88" i="7"/>
  <c r="F87" i="7"/>
  <c r="C87" i="7"/>
  <c r="F86" i="7"/>
  <c r="C86" i="7"/>
  <c r="F85" i="7"/>
  <c r="C85" i="7"/>
  <c r="F84" i="7"/>
  <c r="C84" i="7"/>
  <c r="F83" i="7"/>
  <c r="C83" i="7"/>
  <c r="C82" i="7"/>
  <c r="F82" i="7" s="1"/>
  <c r="C81" i="7"/>
  <c r="F81" i="7" s="1"/>
  <c r="C80" i="7"/>
  <c r="F80" i="7" s="1"/>
  <c r="C79" i="7"/>
  <c r="F79" i="7" s="1"/>
  <c r="C78" i="7"/>
  <c r="F78" i="7" s="1"/>
  <c r="C77" i="7"/>
  <c r="F77" i="7" s="1"/>
  <c r="C76" i="7"/>
  <c r="F76" i="7" s="1"/>
  <c r="F75" i="7"/>
  <c r="C75" i="7"/>
  <c r="C74" i="7"/>
  <c r="F74" i="7" s="1"/>
  <c r="C73" i="7"/>
  <c r="F73" i="7" s="1"/>
  <c r="C72" i="7"/>
  <c r="F72" i="7" s="1"/>
  <c r="F71" i="7"/>
  <c r="C71" i="7"/>
  <c r="F70" i="7"/>
  <c r="C70" i="7"/>
  <c r="F69" i="7"/>
  <c r="C69" i="7"/>
  <c r="C68" i="7"/>
  <c r="F68" i="7" s="1"/>
  <c r="F67" i="7"/>
  <c r="C67" i="7"/>
  <c r="F66" i="7"/>
  <c r="C66" i="7"/>
  <c r="F65" i="7"/>
  <c r="C65" i="7"/>
  <c r="C64" i="7"/>
  <c r="F64" i="7" s="1"/>
  <c r="F63" i="7"/>
  <c r="C63" i="7"/>
  <c r="F62" i="7"/>
  <c r="C62" i="7"/>
  <c r="C61" i="7"/>
  <c r="F61" i="7" s="1"/>
  <c r="C60" i="7"/>
  <c r="F60" i="7" s="1"/>
  <c r="F59" i="7"/>
  <c r="C59" i="7"/>
  <c r="F58" i="7"/>
  <c r="C58" i="7"/>
  <c r="C57" i="7"/>
  <c r="F57" i="7" s="1"/>
  <c r="F56" i="7"/>
  <c r="C56" i="7"/>
  <c r="F55" i="7"/>
  <c r="C55" i="7"/>
  <c r="C54" i="7"/>
  <c r="F54" i="7" s="1"/>
  <c r="C53" i="7"/>
  <c r="F53" i="7" s="1"/>
  <c r="C52" i="7"/>
  <c r="F52" i="7" s="1"/>
  <c r="C51" i="7"/>
  <c r="F51" i="7" s="1"/>
  <c r="C50" i="7"/>
  <c r="F50" i="7" s="1"/>
  <c r="C49" i="7"/>
  <c r="F49" i="7" s="1"/>
  <c r="C48" i="7"/>
  <c r="F48" i="7" s="1"/>
  <c r="C47" i="7"/>
  <c r="F47" i="7" s="1"/>
  <c r="C46" i="7"/>
  <c r="F46" i="7" s="1"/>
  <c r="C45" i="7"/>
  <c r="F45" i="7" s="1"/>
  <c r="C44" i="7"/>
  <c r="F44" i="7" s="1"/>
  <c r="C43" i="7"/>
  <c r="F43" i="7" s="1"/>
  <c r="F42" i="7"/>
  <c r="C42" i="7"/>
  <c r="F41" i="7"/>
  <c r="C41" i="7"/>
  <c r="C40" i="7"/>
  <c r="F40" i="7" s="1"/>
  <c r="C39" i="7"/>
  <c r="F39" i="7" s="1"/>
  <c r="F38" i="7"/>
  <c r="C38" i="7"/>
  <c r="F37" i="7"/>
  <c r="C37" i="7"/>
  <c r="F36" i="7"/>
  <c r="C36" i="7"/>
  <c r="C35" i="7"/>
  <c r="F35" i="7" s="1"/>
  <c r="F34" i="7"/>
  <c r="C34" i="7"/>
  <c r="F33" i="7"/>
  <c r="C33" i="7"/>
  <c r="C32" i="7"/>
  <c r="F32" i="7" s="1"/>
  <c r="F31" i="7"/>
  <c r="C31" i="7"/>
  <c r="F30" i="7"/>
  <c r="C30" i="7"/>
  <c r="C29" i="7"/>
  <c r="F29" i="7" s="1"/>
  <c r="F28" i="7"/>
  <c r="C28" i="7"/>
  <c r="F27" i="7"/>
  <c r="C27" i="7"/>
  <c r="C26" i="7"/>
  <c r="F26" i="7" s="1"/>
  <c r="F25" i="7"/>
  <c r="C25" i="7"/>
  <c r="C24" i="7"/>
  <c r="F24" i="7" s="1"/>
  <c r="F23" i="7"/>
  <c r="C23" i="7"/>
  <c r="C22" i="7"/>
  <c r="F22" i="7" s="1"/>
  <c r="C21" i="7"/>
  <c r="F21" i="7" s="1"/>
  <c r="F20" i="7"/>
  <c r="C20" i="7"/>
  <c r="F19" i="7"/>
  <c r="C19" i="7"/>
  <c r="F18" i="7"/>
  <c r="C18" i="7"/>
  <c r="F17" i="7"/>
  <c r="C17" i="7"/>
  <c r="C16" i="7"/>
  <c r="F16" i="7" s="1"/>
  <c r="C15" i="7"/>
  <c r="F15" i="7" s="1"/>
  <c r="F14" i="7"/>
  <c r="C14" i="7"/>
  <c r="F13" i="7"/>
  <c r="C13" i="7"/>
  <c r="C12" i="7"/>
  <c r="F12" i="7" s="1"/>
  <c r="C11" i="7"/>
  <c r="F11" i="7" s="1"/>
  <c r="C10" i="7"/>
  <c r="F10" i="7" s="1"/>
  <c r="F9" i="7"/>
  <c r="C9" i="7"/>
  <c r="F8" i="7"/>
  <c r="C8" i="7"/>
  <c r="F7" i="7"/>
  <c r="C7" i="7"/>
  <c r="C6" i="7"/>
  <c r="F6" i="7" s="1"/>
  <c r="C5" i="7"/>
  <c r="F5" i="7" s="1"/>
  <c r="F4" i="7"/>
  <c r="C4" i="7"/>
  <c r="F3" i="7"/>
  <c r="C3" i="7"/>
  <c r="F2" i="7"/>
  <c r="C2" i="7"/>
  <c r="F97" i="6"/>
  <c r="C97" i="6"/>
  <c r="F96" i="6"/>
  <c r="C96" i="6"/>
  <c r="F95" i="6"/>
  <c r="C95" i="6"/>
  <c r="C94" i="6"/>
  <c r="F94" i="6" s="1"/>
  <c r="C93" i="6"/>
  <c r="F93" i="6" s="1"/>
  <c r="F92" i="6"/>
  <c r="C92" i="6"/>
  <c r="C91" i="6"/>
  <c r="F91" i="6" s="1"/>
  <c r="C90" i="6"/>
  <c r="F90" i="6" s="1"/>
  <c r="C89" i="6"/>
  <c r="F89" i="6" s="1"/>
  <c r="C88" i="6"/>
  <c r="F88" i="6" s="1"/>
  <c r="F87" i="6"/>
  <c r="C87" i="6"/>
  <c r="C86" i="6"/>
  <c r="F86" i="6" s="1"/>
  <c r="C85" i="6"/>
  <c r="F85" i="6" s="1"/>
  <c r="F84" i="6"/>
  <c r="C84" i="6"/>
  <c r="F83" i="6"/>
  <c r="C83" i="6"/>
  <c r="F82" i="6"/>
  <c r="C82" i="6"/>
  <c r="F81" i="6"/>
  <c r="C81" i="6"/>
  <c r="C80" i="6"/>
  <c r="F80" i="6" s="1"/>
  <c r="C79" i="6"/>
  <c r="F79" i="6" s="1"/>
  <c r="C78" i="6"/>
  <c r="F78" i="6" s="1"/>
  <c r="C77" i="6"/>
  <c r="F77" i="6" s="1"/>
  <c r="C76" i="6"/>
  <c r="F76" i="6" s="1"/>
  <c r="F75" i="6"/>
  <c r="C75" i="6"/>
  <c r="F74" i="6"/>
  <c r="C74" i="6"/>
  <c r="C73" i="6"/>
  <c r="F73" i="6" s="1"/>
  <c r="F72" i="6"/>
  <c r="C72" i="6"/>
  <c r="C71" i="6"/>
  <c r="F71" i="6" s="1"/>
  <c r="C70" i="6"/>
  <c r="F70" i="6" s="1"/>
  <c r="C69" i="6"/>
  <c r="F69" i="6" s="1"/>
  <c r="F68" i="6"/>
  <c r="C68" i="6"/>
  <c r="F67" i="6"/>
  <c r="C67" i="6"/>
  <c r="C66" i="6"/>
  <c r="F66" i="6" s="1"/>
  <c r="F65" i="6"/>
  <c r="C65" i="6"/>
  <c r="C64" i="6"/>
  <c r="F64" i="6" s="1"/>
  <c r="C63" i="6"/>
  <c r="F63" i="6" s="1"/>
  <c r="C62" i="6"/>
  <c r="F62" i="6" s="1"/>
  <c r="C61" i="6"/>
  <c r="F61" i="6" s="1"/>
  <c r="C60" i="6"/>
  <c r="F60" i="6" s="1"/>
  <c r="C59" i="6"/>
  <c r="F59" i="6" s="1"/>
  <c r="C58" i="6"/>
  <c r="F58" i="6" s="1"/>
  <c r="C57" i="6"/>
  <c r="F57" i="6" s="1"/>
  <c r="F56" i="6"/>
  <c r="C56" i="6"/>
  <c r="C55" i="6"/>
  <c r="F55" i="6" s="1"/>
  <c r="F54" i="6"/>
  <c r="C54" i="6"/>
  <c r="F53" i="6"/>
  <c r="C53" i="6"/>
  <c r="C52" i="6"/>
  <c r="F52" i="6" s="1"/>
  <c r="C51" i="6"/>
  <c r="F51" i="6" s="1"/>
  <c r="F50" i="6"/>
  <c r="C50" i="6"/>
  <c r="C49" i="6"/>
  <c r="F49" i="6" s="1"/>
  <c r="C48" i="6"/>
  <c r="F48" i="6" s="1"/>
  <c r="F47" i="6"/>
  <c r="C47" i="6"/>
  <c r="F46" i="6"/>
  <c r="C46" i="6"/>
  <c r="F45" i="6"/>
  <c r="C45" i="6"/>
  <c r="C44" i="6"/>
  <c r="F44" i="6" s="1"/>
  <c r="C43" i="6"/>
  <c r="F43" i="6" s="1"/>
  <c r="C42" i="6"/>
  <c r="F42" i="6" s="1"/>
  <c r="F41" i="6"/>
  <c r="C41" i="6"/>
  <c r="F40" i="6"/>
  <c r="C40" i="6"/>
  <c r="F39" i="6"/>
  <c r="C39" i="6"/>
  <c r="C38" i="6"/>
  <c r="F38" i="6" s="1"/>
  <c r="C37" i="6"/>
  <c r="F37" i="6" s="1"/>
  <c r="C36" i="6"/>
  <c r="F36" i="6" s="1"/>
  <c r="C35" i="6"/>
  <c r="F35" i="6" s="1"/>
  <c r="C34" i="6"/>
  <c r="F34" i="6" s="1"/>
  <c r="C33" i="6"/>
  <c r="F33" i="6" s="1"/>
  <c r="F32" i="6"/>
  <c r="C32" i="6"/>
  <c r="C31" i="6"/>
  <c r="F31" i="6" s="1"/>
  <c r="C30" i="6"/>
  <c r="F30" i="6" s="1"/>
  <c r="F29" i="6"/>
  <c r="C29" i="6"/>
  <c r="C28" i="6"/>
  <c r="F28" i="6" s="1"/>
  <c r="C27" i="6"/>
  <c r="F27" i="6" s="1"/>
  <c r="F26" i="6"/>
  <c r="C26" i="6"/>
  <c r="F25" i="6"/>
  <c r="C25" i="6"/>
  <c r="C24" i="6"/>
  <c r="F24" i="6" s="1"/>
  <c r="C23" i="6"/>
  <c r="F23" i="6" s="1"/>
  <c r="C22" i="6"/>
  <c r="F22" i="6" s="1"/>
  <c r="F21" i="6"/>
  <c r="C21" i="6"/>
  <c r="C20" i="6"/>
  <c r="F20" i="6" s="1"/>
  <c r="F19" i="6"/>
  <c r="C19" i="6"/>
  <c r="C18" i="6"/>
  <c r="F18" i="6" s="1"/>
  <c r="F17" i="6"/>
  <c r="C17" i="6"/>
  <c r="F16" i="6"/>
  <c r="C16" i="6"/>
  <c r="C15" i="6"/>
  <c r="F15" i="6" s="1"/>
  <c r="F14" i="6"/>
  <c r="C14" i="6"/>
  <c r="C13" i="6"/>
  <c r="F13" i="6" s="1"/>
  <c r="F12" i="6"/>
  <c r="C12" i="6"/>
  <c r="F11" i="6"/>
  <c r="C11" i="6"/>
  <c r="C10" i="6"/>
  <c r="F10" i="6" s="1"/>
  <c r="C9" i="6"/>
  <c r="F9" i="6" s="1"/>
  <c r="F8" i="6"/>
  <c r="C8" i="6"/>
  <c r="C7" i="6"/>
  <c r="F7" i="6" s="1"/>
  <c r="C6" i="6"/>
  <c r="F6" i="6" s="1"/>
  <c r="F5" i="6"/>
  <c r="C5" i="6"/>
  <c r="C4" i="6"/>
  <c r="F4" i="6" s="1"/>
  <c r="C3" i="6"/>
  <c r="F3" i="6" s="1"/>
  <c r="C2" i="6"/>
  <c r="F2" i="6" s="1"/>
  <c r="C97" i="5"/>
  <c r="F97" i="5" s="1"/>
  <c r="F96" i="5"/>
  <c r="C96" i="5"/>
  <c r="F95" i="5"/>
  <c r="C95" i="5"/>
  <c r="F94" i="5"/>
  <c r="C94" i="5"/>
  <c r="F93" i="5"/>
  <c r="C93" i="5"/>
  <c r="C92" i="5"/>
  <c r="F92" i="5" s="1"/>
  <c r="F91" i="5"/>
  <c r="C91" i="5"/>
  <c r="F90" i="5"/>
  <c r="C90" i="5"/>
  <c r="C89" i="5"/>
  <c r="F89" i="5" s="1"/>
  <c r="C88" i="5"/>
  <c r="F88" i="5" s="1"/>
  <c r="C87" i="5"/>
  <c r="F87" i="5" s="1"/>
  <c r="C86" i="5"/>
  <c r="F86" i="5" s="1"/>
  <c r="F85" i="5"/>
  <c r="C85" i="5"/>
  <c r="F84" i="5"/>
  <c r="C84" i="5"/>
  <c r="F83" i="5"/>
  <c r="C83" i="5"/>
  <c r="C82" i="5"/>
  <c r="F82" i="5" s="1"/>
  <c r="F81" i="5"/>
  <c r="C81" i="5"/>
  <c r="F80" i="5"/>
  <c r="C80" i="5"/>
  <c r="F79" i="5"/>
  <c r="C79" i="5"/>
  <c r="C78" i="5"/>
  <c r="F78" i="5" s="1"/>
  <c r="F77" i="5"/>
  <c r="C77" i="5"/>
  <c r="C76" i="5"/>
  <c r="F76" i="5" s="1"/>
  <c r="F75" i="5"/>
  <c r="C75" i="5"/>
  <c r="C74" i="5"/>
  <c r="F74" i="5" s="1"/>
  <c r="F73" i="5"/>
  <c r="C73" i="5"/>
  <c r="C72" i="5"/>
  <c r="F72" i="5" s="1"/>
  <c r="C71" i="5"/>
  <c r="F71" i="5" s="1"/>
  <c r="C70" i="5"/>
  <c r="F70" i="5" s="1"/>
  <c r="C69" i="5"/>
  <c r="F69" i="5" s="1"/>
  <c r="C68" i="5"/>
  <c r="F68" i="5" s="1"/>
  <c r="C67" i="5"/>
  <c r="F67" i="5" s="1"/>
  <c r="F66" i="5"/>
  <c r="C66" i="5"/>
  <c r="F65" i="5"/>
  <c r="C65" i="5"/>
  <c r="C64" i="5"/>
  <c r="F64" i="5" s="1"/>
  <c r="F63" i="5"/>
  <c r="C63" i="5"/>
  <c r="F62" i="5"/>
  <c r="C62" i="5"/>
  <c r="C61" i="5"/>
  <c r="F61" i="5" s="1"/>
  <c r="F60" i="5"/>
  <c r="C60" i="5"/>
  <c r="F59" i="5"/>
  <c r="C59" i="5"/>
  <c r="C58" i="5"/>
  <c r="F58" i="5" s="1"/>
  <c r="C57" i="5"/>
  <c r="F57" i="5" s="1"/>
  <c r="C56" i="5"/>
  <c r="F56" i="5" s="1"/>
  <c r="F55" i="5"/>
  <c r="C55" i="5"/>
  <c r="F54" i="5"/>
  <c r="C54" i="5"/>
  <c r="C53" i="5"/>
  <c r="F53" i="5" s="1"/>
  <c r="F52" i="5"/>
  <c r="C52" i="5"/>
  <c r="F51" i="5"/>
  <c r="C51" i="5"/>
  <c r="C50" i="5"/>
  <c r="F50" i="5" s="1"/>
  <c r="C49" i="5"/>
  <c r="F49" i="5" s="1"/>
  <c r="F48" i="5"/>
  <c r="C48" i="5"/>
  <c r="C47" i="5"/>
  <c r="F47" i="5" s="1"/>
  <c r="F46" i="5"/>
  <c r="C46" i="5"/>
  <c r="F45" i="5"/>
  <c r="C45" i="5"/>
  <c r="F44" i="5"/>
  <c r="C44" i="5"/>
  <c r="C43" i="5"/>
  <c r="F43" i="5" s="1"/>
  <c r="C42" i="5"/>
  <c r="F42" i="5" s="1"/>
  <c r="C41" i="5"/>
  <c r="F41" i="5" s="1"/>
  <c r="C40" i="5"/>
  <c r="F40" i="5" s="1"/>
  <c r="C39" i="5"/>
  <c r="F39" i="5" s="1"/>
  <c r="F38" i="5"/>
  <c r="C38" i="5"/>
  <c r="F37" i="5"/>
  <c r="C37" i="5"/>
  <c r="C36" i="5"/>
  <c r="F36" i="5" s="1"/>
  <c r="C35" i="5"/>
  <c r="F35" i="5" s="1"/>
  <c r="C34" i="5"/>
  <c r="F34" i="5" s="1"/>
  <c r="F33" i="5"/>
  <c r="C33" i="5"/>
  <c r="C32" i="5"/>
  <c r="F32" i="5" s="1"/>
  <c r="C31" i="5"/>
  <c r="F31" i="5" s="1"/>
  <c r="F30" i="5"/>
  <c r="C30" i="5"/>
  <c r="C29" i="5"/>
  <c r="F29" i="5" s="1"/>
  <c r="F28" i="5"/>
  <c r="C28" i="5"/>
  <c r="C27" i="5"/>
  <c r="F27" i="5" s="1"/>
  <c r="F26" i="5"/>
  <c r="C26" i="5"/>
  <c r="F25" i="5"/>
  <c r="C25" i="5"/>
  <c r="F24" i="5"/>
  <c r="C24" i="5"/>
  <c r="F23" i="5"/>
  <c r="C23" i="5"/>
  <c r="C22" i="5"/>
  <c r="F22" i="5" s="1"/>
  <c r="C21" i="5"/>
  <c r="F21" i="5" s="1"/>
  <c r="C20" i="5"/>
  <c r="F20" i="5" s="1"/>
  <c r="C19" i="5"/>
  <c r="F19" i="5" s="1"/>
  <c r="C18" i="5"/>
  <c r="F18" i="5" s="1"/>
  <c r="F17" i="5"/>
  <c r="C17" i="5"/>
  <c r="C16" i="5"/>
  <c r="F16" i="5" s="1"/>
  <c r="C15" i="5"/>
  <c r="F15" i="5" s="1"/>
  <c r="F14" i="5"/>
  <c r="C14" i="5"/>
  <c r="F13" i="5"/>
  <c r="C13" i="5"/>
  <c r="C12" i="5"/>
  <c r="F12" i="5" s="1"/>
  <c r="C11" i="5"/>
  <c r="F11" i="5" s="1"/>
  <c r="F10" i="5"/>
  <c r="C10" i="5"/>
  <c r="F9" i="5"/>
  <c r="C9" i="5"/>
  <c r="C8" i="5"/>
  <c r="F8" i="5" s="1"/>
  <c r="C7" i="5"/>
  <c r="F7" i="5" s="1"/>
  <c r="F6" i="5"/>
  <c r="C6" i="5"/>
  <c r="C5" i="5"/>
  <c r="F5" i="5" s="1"/>
  <c r="F4" i="5"/>
  <c r="C4" i="5"/>
  <c r="C3" i="5"/>
  <c r="F3" i="5" s="1"/>
  <c r="C2" i="5"/>
  <c r="F2" i="5" s="1"/>
  <c r="G2" i="2" s="1"/>
</calcChain>
</file>

<file path=xl/sharedStrings.xml><?xml version="1.0" encoding="utf-8"?>
<sst xmlns="http://schemas.openxmlformats.org/spreadsheetml/2006/main" count="8705" uniqueCount="94">
  <si>
    <t>Bidding Area</t>
  </si>
  <si>
    <t>Date</t>
  </si>
  <si>
    <t>period</t>
  </si>
  <si>
    <t>NORD</t>
  </si>
  <si>
    <t>CSUD</t>
  </si>
  <si>
    <t>SUD</t>
  </si>
  <si>
    <t>SICI</t>
  </si>
  <si>
    <t>EXPOSURE</t>
  </si>
  <si>
    <t>DATA</t>
  </si>
  <si>
    <t>ZONE</t>
  </si>
  <si>
    <t>MI</t>
  </si>
  <si>
    <t>MGP</t>
  </si>
  <si>
    <t>PURPOSE-1</t>
  </si>
  <si>
    <t>PERIOD-1</t>
  </si>
  <si>
    <t>PRICE-1</t>
  </si>
  <si>
    <t>QTY-1</t>
  </si>
  <si>
    <t>TIME-1</t>
  </si>
  <si>
    <t>ZONA-1</t>
  </si>
  <si>
    <t>PURPOSE-2</t>
  </si>
  <si>
    <t>PERIOD-2</t>
  </si>
  <si>
    <t>PRICE-2</t>
  </si>
  <si>
    <t>QTY-2</t>
  </si>
  <si>
    <t>TIME-2</t>
  </si>
  <si>
    <t>ZONA-2</t>
  </si>
  <si>
    <t>PURPOSE-3</t>
  </si>
  <si>
    <t>PERIOD-3</t>
  </si>
  <si>
    <t>PRICE-3</t>
  </si>
  <si>
    <t>QTY-3</t>
  </si>
  <si>
    <t>TIME-3</t>
  </si>
  <si>
    <t>ZONA-3</t>
  </si>
  <si>
    <t>PURPOSE-4</t>
  </si>
  <si>
    <t>PERIOD-4</t>
  </si>
  <si>
    <t>PRICE-4</t>
  </si>
  <si>
    <t>QTY-4</t>
  </si>
  <si>
    <t>TIME-4</t>
  </si>
  <si>
    <t>ZONA-4</t>
  </si>
  <si>
    <t>PURPOSE-5</t>
  </si>
  <si>
    <t>PERIOD-5</t>
  </si>
  <si>
    <t>PRICE-5</t>
  </si>
  <si>
    <t>QTY-5</t>
  </si>
  <si>
    <t>TIME-5</t>
  </si>
  <si>
    <t>ZONA-5</t>
  </si>
  <si>
    <t>PURPOSE-6</t>
  </si>
  <si>
    <t>PERIOD-6</t>
  </si>
  <si>
    <t>PRICE-6</t>
  </si>
  <si>
    <t>QTY-6</t>
  </si>
  <si>
    <t>TIME-6</t>
  </si>
  <si>
    <t>ZONA-6</t>
  </si>
  <si>
    <t>PURPOSE-7</t>
  </si>
  <si>
    <t>PERIOD-7</t>
  </si>
  <si>
    <t>PRICE-7</t>
  </si>
  <si>
    <t>QTY-7</t>
  </si>
  <si>
    <t>TIME-7</t>
  </si>
  <si>
    <t>ZONA-7</t>
  </si>
  <si>
    <t>PURPOSE-8</t>
  </si>
  <si>
    <t>PERIOD-8</t>
  </si>
  <si>
    <t>PRICE-8</t>
  </si>
  <si>
    <t>QTY-8</t>
  </si>
  <si>
    <t>TIME-8</t>
  </si>
  <si>
    <t>ZONA-8</t>
  </si>
  <si>
    <t>PURPOSE-9</t>
  </si>
  <si>
    <t>PERIOD-9</t>
  </si>
  <si>
    <t>PRICE-9</t>
  </si>
  <si>
    <t>QTY-9</t>
  </si>
  <si>
    <t>TIME-9</t>
  </si>
  <si>
    <t>ZONA-9</t>
  </si>
  <si>
    <t>PURPOSE-10</t>
  </si>
  <si>
    <t>PERIOD-10</t>
  </si>
  <si>
    <t>PRICE-10</t>
  </si>
  <si>
    <t>QTY-10</t>
  </si>
  <si>
    <t>TIME-10</t>
  </si>
  <si>
    <t>ZONA-10</t>
  </si>
  <si>
    <t>PURPOSE-11</t>
  </si>
  <si>
    <t>PERIOD-11</t>
  </si>
  <si>
    <t>PRICE-11</t>
  </si>
  <si>
    <t>QTY-11</t>
  </si>
  <si>
    <t>TIME-11</t>
  </si>
  <si>
    <t>ZONA-11</t>
  </si>
  <si>
    <t>PURPOSE-12</t>
  </si>
  <si>
    <t>PERIOD-12</t>
  </si>
  <si>
    <t>PRICE-12</t>
  </si>
  <si>
    <t>QTY-12</t>
  </si>
  <si>
    <t>TIME-12</t>
  </si>
  <si>
    <t>ZONA-12</t>
  </si>
  <si>
    <t>BUY</t>
  </si>
  <si>
    <t>PT15M</t>
  </si>
  <si>
    <t>PURPOSE</t>
  </si>
  <si>
    <t>PERIOD</t>
  </si>
  <si>
    <t>PRICE</t>
  </si>
  <si>
    <t>QTY</t>
  </si>
  <si>
    <t>TIME</t>
  </si>
  <si>
    <t>ZONA</t>
  </si>
  <si>
    <t>SELL</t>
  </si>
  <si>
    <t>Exposure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</si>
</sst>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yyyy\-mm\-dd\ h:mm:ss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22"/>
      <color rgb="FF0000FF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/>
  </cellStyleXfs>
  <cellXfs count="16">
    <xf numFmtId="0" fontId="0" fillId="0" borderId="0" xfId="0"/>
    <xf numFmtId="0" fontId="1" fillId="0" borderId="1" xfId="0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/>
    <xf numFmtId="0" fontId="0" fillId="0" borderId="4" xfId="0" applyBorder="1" applyAlignment="1">
      <alignment horizontal="center" vertical="center"/>
    </xf>
    <xf numFmtId="14" fontId="0" fillId="0" borderId="4" xfId="0" applyNumberFormat="1" applyBorder="1"/>
    <xf numFmtId="0" fontId="0" fillId="0" borderId="4" xfId="0" applyBorder="1"/>
    <xf numFmtId="43" fontId="0" fillId="0" borderId="2" xfId="1" applyFont="1" applyBorder="1" applyAlignment="1">
      <alignment horizontal="center" vertical="center"/>
    </xf>
    <xf numFmtId="164" fontId="0" fillId="0" borderId="0" xfId="0" applyNumberFormat="1"/>
    <xf numFmtId="0" fontId="0" fillId="0" borderId="0" xfId="0" quotePrefix="1"/>
    <xf numFmtId="0" fontId="3" fillId="0" borderId="0" xfId="0" applyFont="1" applyAlignment="1">
      <alignment horizontal="center" vertical="center"/>
    </xf>
    <xf numFmtId="0" fontId="0" fillId="0" borderId="0" xfId="0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171450</xdr:rowOff>
        </xdr:from>
        <xdr:to>
          <xdr:col>6</xdr:col>
          <xdr:colOff>9525</xdr:colOff>
          <xdr:row>5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H" sz="22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SEND BIDS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3"/>
  <sheetViews>
    <sheetView workbookViewId="0">
      <selection activeCell="G21" sqref="G21"/>
    </sheetView>
  </sheetViews>
  <sheetFormatPr defaultRowHeight="15" x14ac:dyDescent="0.25"/>
  <cols>
    <col min="1" max="1" width="12.28515625" bestFit="1" customWidth="1"/>
    <col min="2" max="2" width="10.140625" bestFit="1" customWidth="1"/>
  </cols>
  <sheetData>
    <row r="1" spans="1:2" ht="15.75" customHeight="1" x14ac:dyDescent="0.25">
      <c r="A1" s="6" t="s">
        <v>0</v>
      </c>
      <c r="B1" s="7" t="s">
        <v>1</v>
      </c>
    </row>
    <row r="2" spans="1:2" ht="15.75" customHeight="1" x14ac:dyDescent="0.25">
      <c r="A2" s="8"/>
      <c r="B2" s="9">
        <v>45941</v>
      </c>
    </row>
    <row r="3" spans="1:2" x14ac:dyDescent="0.25">
      <c r="A3" s="8"/>
      <c r="B3" s="10"/>
    </row>
    <row r="4" spans="1:2" x14ac:dyDescent="0.25">
      <c r="A4" s="8"/>
      <c r="B4" s="10"/>
    </row>
    <row r="5" spans="1:2" x14ac:dyDescent="0.25">
      <c r="A5" s="8"/>
      <c r="B5" s="10"/>
    </row>
    <row r="6" spans="1:2" x14ac:dyDescent="0.25">
      <c r="A6" s="8"/>
      <c r="B6" s="10"/>
    </row>
    <row r="7" spans="1:2" x14ac:dyDescent="0.25">
      <c r="A7" s="8"/>
      <c r="B7" s="10"/>
    </row>
    <row r="8" spans="1:2" x14ac:dyDescent="0.25">
      <c r="A8" s="8"/>
    </row>
    <row r="9" spans="1:2" x14ac:dyDescent="0.25">
      <c r="A9" s="8"/>
    </row>
    <row r="10" spans="1:2" x14ac:dyDescent="0.25">
      <c r="A10" s="8"/>
    </row>
    <row r="11" spans="1:2" x14ac:dyDescent="0.25">
      <c r="A11" s="8"/>
    </row>
    <row r="12" spans="1:2" x14ac:dyDescent="0.25">
      <c r="A12" s="8"/>
    </row>
    <row r="13" spans="1:2" x14ac:dyDescent="0.25">
      <c r="A13" s="8"/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PythonScript">
                <anchor moveWithCells="1" sizeWithCells="1">
                  <from>
                    <xdr:col>3</xdr:col>
                    <xdr:colOff>0</xdr:colOff>
                    <xdr:row>0</xdr:row>
                    <xdr:rowOff>171450</xdr:rowOff>
                  </from>
                  <to>
                    <xdr:col>6</xdr:col>
                    <xdr:colOff>9525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V97"/>
  <sheetViews>
    <sheetView tabSelected="1" workbookViewId="0">
      <selection activeCell="K13" sqref="K13"/>
    </sheetView>
  </sheetViews>
  <sheetFormatPr defaultRowHeight="15" x14ac:dyDescent="0.25"/>
  <cols>
    <col min="1" max="1" width="6.85546875" bestFit="1" customWidth="1"/>
    <col min="2" max="5" width="7" bestFit="1" customWidth="1"/>
    <col min="7" max="7" width="11" bestFit="1" customWidth="1"/>
    <col min="9" max="9" width="10.140625" bestFit="1" customWidth="1"/>
    <col min="11" max="11" width="6.28515625" bestFit="1" customWidth="1"/>
    <col min="14" max="14" width="6.85546875" bestFit="1" customWidth="1"/>
    <col min="15" max="18" width="10" bestFit="1" customWidth="1"/>
    <col min="22" max="22" width="17.28515625" bestFit="1" customWidth="1"/>
  </cols>
  <sheetData>
    <row r="1" spans="1:22" x14ac:dyDescent="0.25">
      <c r="A1" t="s">
        <v>2</v>
      </c>
      <c r="B1" t="s">
        <v>3</v>
      </c>
      <c r="C1" t="s">
        <v>4</v>
      </c>
      <c r="D1" t="s">
        <v>5</v>
      </c>
      <c r="E1" t="s">
        <v>6</v>
      </c>
      <c r="G1" s="3" t="s">
        <v>7</v>
      </c>
      <c r="N1" t="s">
        <v>2</v>
      </c>
      <c r="O1" t="s">
        <v>3</v>
      </c>
      <c r="P1" t="s">
        <v>4</v>
      </c>
      <c r="Q1" t="s">
        <v>5</v>
      </c>
      <c r="R1" t="s">
        <v>6</v>
      </c>
    </row>
    <row r="2" spans="1:22" ht="15.75" customHeight="1" thickBot="1" x14ac:dyDescent="0.3">
      <c r="A2">
        <v>1</v>
      </c>
      <c r="G2" s="11">
        <f>SUM('NORD-1'!F2:F97)+SUM('NORD-2'!F2:F97)+SUM('NORD-3'!F2:F97)+SUM('NORD-4'!F2:F97)+SUM('CSUD-1'!F2:F24)+SUM('CSUD-2'!F2:F97)+SUM('CSUD-3'!F2:F97)+SUM('CSUD-4'!F2:F97)+SUM('SUD-1'!F2:F97)+SUM('SUD-2'!F2:F97)+SUM('SUD-3'!F2:F97)+SUM('SUD-4'!F2:F97)+SUM('SICI-1'!F2:F97)+SUM('SICI-2'!F2:F97)+SUM('SICI-3'!F2:F97)+SUM('SICI-4'!F2:F97)</f>
        <v>-18576</v>
      </c>
      <c r="N2">
        <v>1</v>
      </c>
      <c r="O2">
        <v>118.83</v>
      </c>
      <c r="P2">
        <v>118.83</v>
      </c>
      <c r="Q2">
        <v>118.83</v>
      </c>
      <c r="R2">
        <v>124.03</v>
      </c>
      <c r="V2" s="12">
        <v>45941</v>
      </c>
    </row>
    <row r="3" spans="1:22" x14ac:dyDescent="0.25">
      <c r="A3">
        <v>2</v>
      </c>
      <c r="N3">
        <v>2</v>
      </c>
      <c r="O3">
        <v>118.83</v>
      </c>
      <c r="P3">
        <v>118.83</v>
      </c>
      <c r="Q3">
        <v>118.83</v>
      </c>
      <c r="R3">
        <v>124.03</v>
      </c>
      <c r="V3" s="12">
        <v>45941</v>
      </c>
    </row>
    <row r="4" spans="1:22" ht="15.75" customHeight="1" thickBot="1" x14ac:dyDescent="0.3">
      <c r="A4">
        <v>3</v>
      </c>
      <c r="N4">
        <v>3</v>
      </c>
      <c r="O4">
        <v>106.06</v>
      </c>
      <c r="P4">
        <v>106.06</v>
      </c>
      <c r="Q4">
        <v>106.06</v>
      </c>
      <c r="R4">
        <v>124.03</v>
      </c>
      <c r="V4" s="12">
        <v>45941</v>
      </c>
    </row>
    <row r="5" spans="1:22" x14ac:dyDescent="0.25">
      <c r="A5">
        <v>4</v>
      </c>
      <c r="I5" s="1" t="s">
        <v>8</v>
      </c>
      <c r="K5" s="3" t="s">
        <v>9</v>
      </c>
      <c r="N5">
        <v>4</v>
      </c>
      <c r="O5">
        <v>103.99</v>
      </c>
      <c r="P5">
        <v>103.99</v>
      </c>
      <c r="Q5">
        <v>103.99</v>
      </c>
      <c r="R5">
        <v>124.03</v>
      </c>
      <c r="V5" s="12">
        <v>45941</v>
      </c>
    </row>
    <row r="6" spans="1:22" ht="15.75" customHeight="1" thickBot="1" x14ac:dyDescent="0.3">
      <c r="A6">
        <v>5</v>
      </c>
      <c r="I6" s="2">
        <v>45941</v>
      </c>
      <c r="K6" s="4" t="s">
        <v>3</v>
      </c>
      <c r="N6">
        <v>5</v>
      </c>
      <c r="O6">
        <v>120</v>
      </c>
      <c r="P6">
        <v>120</v>
      </c>
      <c r="Q6">
        <v>120</v>
      </c>
      <c r="R6">
        <v>124.03</v>
      </c>
      <c r="V6" s="12">
        <v>45941</v>
      </c>
    </row>
    <row r="7" spans="1:22" x14ac:dyDescent="0.25">
      <c r="A7">
        <v>6</v>
      </c>
      <c r="K7" s="4" t="s">
        <v>4</v>
      </c>
      <c r="N7">
        <v>6</v>
      </c>
      <c r="O7">
        <v>115</v>
      </c>
      <c r="P7">
        <v>115</v>
      </c>
      <c r="Q7">
        <v>115</v>
      </c>
      <c r="R7">
        <v>124.03</v>
      </c>
      <c r="V7" s="12">
        <v>45941</v>
      </c>
    </row>
    <row r="8" spans="1:22" x14ac:dyDescent="0.25">
      <c r="A8">
        <v>7</v>
      </c>
      <c r="K8" s="4" t="s">
        <v>5</v>
      </c>
      <c r="N8">
        <v>7</v>
      </c>
      <c r="O8">
        <v>106.1</v>
      </c>
      <c r="P8">
        <v>106.1</v>
      </c>
      <c r="Q8">
        <v>106.1</v>
      </c>
      <c r="R8">
        <v>120.45</v>
      </c>
      <c r="V8" s="12">
        <v>45941</v>
      </c>
    </row>
    <row r="9" spans="1:22" ht="15.75" customHeight="1" thickBot="1" x14ac:dyDescent="0.3">
      <c r="A9">
        <v>8</v>
      </c>
      <c r="K9" s="5" t="s">
        <v>6</v>
      </c>
      <c r="N9">
        <v>8</v>
      </c>
      <c r="O9">
        <v>103.32</v>
      </c>
      <c r="P9">
        <v>103.32</v>
      </c>
      <c r="Q9">
        <v>103.32</v>
      </c>
      <c r="R9">
        <v>120.45</v>
      </c>
      <c r="V9" s="12">
        <v>45941</v>
      </c>
    </row>
    <row r="10" spans="1:22" x14ac:dyDescent="0.25">
      <c r="A10">
        <v>9</v>
      </c>
      <c r="N10">
        <v>9</v>
      </c>
      <c r="O10">
        <v>110.21</v>
      </c>
      <c r="P10">
        <v>110.21</v>
      </c>
      <c r="Q10">
        <v>110.21</v>
      </c>
      <c r="R10">
        <v>120.45</v>
      </c>
      <c r="V10" s="12">
        <v>45941</v>
      </c>
    </row>
    <row r="11" spans="1:22" x14ac:dyDescent="0.25">
      <c r="A11">
        <v>10</v>
      </c>
      <c r="F11" s="14" t="s">
        <v>10</v>
      </c>
      <c r="G11" s="15"/>
      <c r="N11">
        <v>10</v>
      </c>
      <c r="O11">
        <v>109.58</v>
      </c>
      <c r="P11">
        <v>109.58</v>
      </c>
      <c r="Q11">
        <v>109.58</v>
      </c>
      <c r="R11">
        <v>114</v>
      </c>
      <c r="S11" s="14" t="s">
        <v>11</v>
      </c>
      <c r="T11" s="15"/>
      <c r="V11" s="12">
        <v>45941</v>
      </c>
    </row>
    <row r="12" spans="1:22" x14ac:dyDescent="0.25">
      <c r="A12">
        <v>11</v>
      </c>
      <c r="F12" s="15"/>
      <c r="G12" s="15"/>
      <c r="N12">
        <v>11</v>
      </c>
      <c r="O12">
        <v>104.1</v>
      </c>
      <c r="P12">
        <v>104.1</v>
      </c>
      <c r="Q12">
        <v>104.1</v>
      </c>
      <c r="R12">
        <v>107.91</v>
      </c>
      <c r="S12" s="15"/>
      <c r="T12" s="15"/>
      <c r="V12" s="12">
        <v>45941</v>
      </c>
    </row>
    <row r="13" spans="1:22" x14ac:dyDescent="0.25">
      <c r="A13">
        <v>12</v>
      </c>
      <c r="F13" s="15"/>
      <c r="G13" s="15"/>
      <c r="N13">
        <v>12</v>
      </c>
      <c r="O13">
        <v>96.51</v>
      </c>
      <c r="P13">
        <v>96.51</v>
      </c>
      <c r="Q13">
        <v>96.51</v>
      </c>
      <c r="R13">
        <v>107.91</v>
      </c>
      <c r="S13" s="15"/>
      <c r="T13" s="15"/>
      <c r="V13" s="12">
        <v>45941</v>
      </c>
    </row>
    <row r="14" spans="1:22" x14ac:dyDescent="0.25">
      <c r="A14">
        <v>13</v>
      </c>
      <c r="F14" s="15"/>
      <c r="G14" s="15"/>
      <c r="N14">
        <v>13</v>
      </c>
      <c r="O14">
        <v>106.18</v>
      </c>
      <c r="P14">
        <v>106.18</v>
      </c>
      <c r="Q14">
        <v>106.18</v>
      </c>
      <c r="R14">
        <v>107.91</v>
      </c>
      <c r="S14" s="15"/>
      <c r="T14" s="15"/>
      <c r="V14" s="12">
        <v>45941</v>
      </c>
    </row>
    <row r="15" spans="1:22" x14ac:dyDescent="0.25">
      <c r="A15">
        <v>14</v>
      </c>
      <c r="N15">
        <v>14</v>
      </c>
      <c r="O15">
        <v>106.18</v>
      </c>
      <c r="P15">
        <v>106.18</v>
      </c>
      <c r="Q15">
        <v>106.18</v>
      </c>
      <c r="R15">
        <v>107.91</v>
      </c>
      <c r="V15" s="12">
        <v>45941</v>
      </c>
    </row>
    <row r="16" spans="1:22" x14ac:dyDescent="0.25">
      <c r="A16">
        <v>15</v>
      </c>
      <c r="N16">
        <v>15</v>
      </c>
      <c r="O16">
        <v>105.57</v>
      </c>
      <c r="P16">
        <v>105.57</v>
      </c>
      <c r="Q16">
        <v>105.57</v>
      </c>
      <c r="R16">
        <v>107.91</v>
      </c>
      <c r="V16" s="12">
        <v>45941</v>
      </c>
    </row>
    <row r="17" spans="1:22" x14ac:dyDescent="0.25">
      <c r="A17">
        <v>16</v>
      </c>
      <c r="N17">
        <v>16</v>
      </c>
      <c r="O17">
        <v>102.47</v>
      </c>
      <c r="P17">
        <v>102.47</v>
      </c>
      <c r="Q17">
        <v>102.47</v>
      </c>
      <c r="R17">
        <v>107.91</v>
      </c>
      <c r="V17" s="12">
        <v>45941</v>
      </c>
    </row>
    <row r="18" spans="1:22" x14ac:dyDescent="0.25">
      <c r="A18">
        <v>17</v>
      </c>
      <c r="N18">
        <v>17</v>
      </c>
      <c r="O18">
        <v>101.43</v>
      </c>
      <c r="P18">
        <v>101.43</v>
      </c>
      <c r="Q18">
        <v>101.43</v>
      </c>
      <c r="R18">
        <v>107.91</v>
      </c>
      <c r="V18" s="12">
        <v>45941</v>
      </c>
    </row>
    <row r="19" spans="1:22" x14ac:dyDescent="0.25">
      <c r="A19">
        <v>18</v>
      </c>
      <c r="N19">
        <v>18</v>
      </c>
      <c r="O19">
        <v>101.51</v>
      </c>
      <c r="P19">
        <v>101.51</v>
      </c>
      <c r="Q19">
        <v>101.51</v>
      </c>
      <c r="R19">
        <v>107.91</v>
      </c>
      <c r="V19" s="12">
        <v>45941</v>
      </c>
    </row>
    <row r="20" spans="1:22" x14ac:dyDescent="0.25">
      <c r="A20">
        <v>19</v>
      </c>
      <c r="N20">
        <v>19</v>
      </c>
      <c r="O20">
        <v>104.16</v>
      </c>
      <c r="P20">
        <v>104.16</v>
      </c>
      <c r="Q20">
        <v>104.16</v>
      </c>
      <c r="R20">
        <v>107.91</v>
      </c>
      <c r="V20" s="12">
        <v>45941</v>
      </c>
    </row>
    <row r="21" spans="1:22" x14ac:dyDescent="0.25">
      <c r="A21">
        <v>20</v>
      </c>
      <c r="N21">
        <v>20</v>
      </c>
      <c r="O21">
        <v>104.16</v>
      </c>
      <c r="P21">
        <v>104.16</v>
      </c>
      <c r="Q21">
        <v>104.16</v>
      </c>
      <c r="R21">
        <v>107.91</v>
      </c>
      <c r="V21" s="12">
        <v>45941</v>
      </c>
    </row>
    <row r="22" spans="1:22" x14ac:dyDescent="0.25">
      <c r="A22">
        <v>21</v>
      </c>
      <c r="N22">
        <v>21</v>
      </c>
      <c r="O22">
        <v>101.51</v>
      </c>
      <c r="P22">
        <v>101.51</v>
      </c>
      <c r="Q22">
        <v>101.51</v>
      </c>
      <c r="R22">
        <v>107.91</v>
      </c>
      <c r="V22" s="12">
        <v>45941</v>
      </c>
    </row>
    <row r="23" spans="1:22" x14ac:dyDescent="0.25">
      <c r="A23">
        <v>22</v>
      </c>
      <c r="N23">
        <v>22</v>
      </c>
      <c r="O23">
        <v>96.51</v>
      </c>
      <c r="P23">
        <v>96.51</v>
      </c>
      <c r="Q23">
        <v>96.51</v>
      </c>
      <c r="R23">
        <v>107.91</v>
      </c>
      <c r="V23" s="12">
        <v>45941</v>
      </c>
    </row>
    <row r="24" spans="1:22" x14ac:dyDescent="0.25">
      <c r="A24">
        <v>23</v>
      </c>
      <c r="N24">
        <v>23</v>
      </c>
      <c r="O24">
        <v>104.22</v>
      </c>
      <c r="P24">
        <v>104.22</v>
      </c>
      <c r="Q24">
        <v>104.22</v>
      </c>
      <c r="R24">
        <v>107.91</v>
      </c>
      <c r="V24" s="12">
        <v>45941</v>
      </c>
    </row>
    <row r="25" spans="1:22" x14ac:dyDescent="0.25">
      <c r="A25">
        <v>24</v>
      </c>
      <c r="N25">
        <v>24</v>
      </c>
      <c r="O25">
        <v>113.72</v>
      </c>
      <c r="P25">
        <v>113.72</v>
      </c>
      <c r="Q25">
        <v>113.72</v>
      </c>
      <c r="R25">
        <v>113.72</v>
      </c>
      <c r="V25" s="12">
        <v>45941</v>
      </c>
    </row>
    <row r="26" spans="1:22" x14ac:dyDescent="0.25">
      <c r="A26">
        <v>25</v>
      </c>
      <c r="N26">
        <v>25</v>
      </c>
      <c r="O26">
        <v>96.51</v>
      </c>
      <c r="P26">
        <v>96.51</v>
      </c>
      <c r="Q26">
        <v>96.51</v>
      </c>
      <c r="R26">
        <v>107.91</v>
      </c>
      <c r="V26" s="12">
        <v>45941</v>
      </c>
    </row>
    <row r="27" spans="1:22" x14ac:dyDescent="0.25">
      <c r="A27">
        <v>26</v>
      </c>
      <c r="N27">
        <v>26</v>
      </c>
      <c r="O27">
        <v>109.58</v>
      </c>
      <c r="P27">
        <v>109.58</v>
      </c>
      <c r="Q27">
        <v>109.58</v>
      </c>
      <c r="R27">
        <v>124.03</v>
      </c>
      <c r="V27" s="12">
        <v>45941</v>
      </c>
    </row>
    <row r="28" spans="1:22" x14ac:dyDescent="0.25">
      <c r="A28">
        <v>27</v>
      </c>
      <c r="N28">
        <v>27</v>
      </c>
      <c r="O28">
        <v>120</v>
      </c>
      <c r="P28">
        <v>120</v>
      </c>
      <c r="Q28">
        <v>120</v>
      </c>
      <c r="R28">
        <v>124.03</v>
      </c>
      <c r="V28" s="12">
        <v>45941</v>
      </c>
    </row>
    <row r="29" spans="1:22" x14ac:dyDescent="0.25">
      <c r="A29">
        <v>28</v>
      </c>
      <c r="N29">
        <v>28</v>
      </c>
      <c r="O29">
        <v>127.5</v>
      </c>
      <c r="P29">
        <v>127.5</v>
      </c>
      <c r="Q29">
        <v>127.5</v>
      </c>
      <c r="R29">
        <v>127.5</v>
      </c>
      <c r="V29" s="12">
        <v>45941</v>
      </c>
    </row>
    <row r="30" spans="1:22" x14ac:dyDescent="0.25">
      <c r="A30">
        <v>29</v>
      </c>
      <c r="N30">
        <v>29</v>
      </c>
      <c r="O30">
        <v>116.08</v>
      </c>
      <c r="P30">
        <v>116.08</v>
      </c>
      <c r="Q30">
        <v>116.08</v>
      </c>
      <c r="R30">
        <v>117</v>
      </c>
      <c r="V30" s="12">
        <v>45941</v>
      </c>
    </row>
    <row r="31" spans="1:22" x14ac:dyDescent="0.25">
      <c r="A31">
        <v>30</v>
      </c>
      <c r="N31">
        <v>30</v>
      </c>
      <c r="O31">
        <v>121</v>
      </c>
      <c r="P31">
        <v>121</v>
      </c>
      <c r="Q31">
        <v>121</v>
      </c>
      <c r="R31">
        <v>124.03</v>
      </c>
      <c r="V31" s="12">
        <v>45941</v>
      </c>
    </row>
    <row r="32" spans="1:22" x14ac:dyDescent="0.25">
      <c r="A32">
        <v>31</v>
      </c>
      <c r="N32">
        <v>31</v>
      </c>
      <c r="O32">
        <v>123.39</v>
      </c>
      <c r="P32">
        <v>123.39</v>
      </c>
      <c r="Q32">
        <v>123.39</v>
      </c>
      <c r="R32">
        <v>124.03</v>
      </c>
      <c r="V32" s="12">
        <v>45941</v>
      </c>
    </row>
    <row r="33" spans="1:22" x14ac:dyDescent="0.25">
      <c r="A33">
        <v>32</v>
      </c>
      <c r="N33">
        <v>32</v>
      </c>
      <c r="O33">
        <v>121</v>
      </c>
      <c r="P33">
        <v>121</v>
      </c>
      <c r="Q33">
        <v>121</v>
      </c>
      <c r="R33">
        <v>124.03</v>
      </c>
      <c r="V33" s="12">
        <v>45941</v>
      </c>
    </row>
    <row r="34" spans="1:22" x14ac:dyDescent="0.25">
      <c r="A34">
        <v>33</v>
      </c>
      <c r="N34">
        <v>33</v>
      </c>
      <c r="O34">
        <v>128.51</v>
      </c>
      <c r="P34">
        <v>128.51</v>
      </c>
      <c r="Q34">
        <v>128.51</v>
      </c>
      <c r="R34">
        <v>128.51</v>
      </c>
      <c r="V34" s="12">
        <v>45941</v>
      </c>
    </row>
    <row r="35" spans="1:22" x14ac:dyDescent="0.25">
      <c r="A35">
        <v>34</v>
      </c>
      <c r="N35">
        <v>34</v>
      </c>
      <c r="O35">
        <v>127.5</v>
      </c>
      <c r="P35">
        <v>127.5</v>
      </c>
      <c r="Q35">
        <v>127.5</v>
      </c>
      <c r="R35">
        <v>127.5</v>
      </c>
      <c r="V35" s="12">
        <v>45941</v>
      </c>
    </row>
    <row r="36" spans="1:22" x14ac:dyDescent="0.25">
      <c r="A36">
        <v>35</v>
      </c>
      <c r="N36">
        <v>35</v>
      </c>
      <c r="O36">
        <v>115</v>
      </c>
      <c r="P36">
        <v>115</v>
      </c>
      <c r="Q36">
        <v>115</v>
      </c>
      <c r="R36">
        <v>124.03</v>
      </c>
      <c r="V36" s="12">
        <v>45941</v>
      </c>
    </row>
    <row r="37" spans="1:22" x14ac:dyDescent="0.25">
      <c r="A37">
        <v>36</v>
      </c>
      <c r="N37">
        <v>36</v>
      </c>
      <c r="O37">
        <v>108.5</v>
      </c>
      <c r="P37">
        <v>108.5</v>
      </c>
      <c r="Q37">
        <v>108.5</v>
      </c>
      <c r="R37">
        <v>124.03</v>
      </c>
      <c r="V37" s="12">
        <v>45941</v>
      </c>
    </row>
    <row r="38" spans="1:22" x14ac:dyDescent="0.25">
      <c r="A38">
        <v>37</v>
      </c>
      <c r="N38">
        <v>37</v>
      </c>
      <c r="O38">
        <v>115</v>
      </c>
      <c r="P38">
        <v>115</v>
      </c>
      <c r="Q38">
        <v>115</v>
      </c>
      <c r="R38">
        <v>115</v>
      </c>
      <c r="V38" s="12">
        <v>45941</v>
      </c>
    </row>
    <row r="39" spans="1:22" x14ac:dyDescent="0.25">
      <c r="A39">
        <v>38</v>
      </c>
      <c r="N39">
        <v>38</v>
      </c>
      <c r="O39">
        <v>104.30932</v>
      </c>
      <c r="P39">
        <v>104.30932</v>
      </c>
      <c r="Q39">
        <v>104.30932</v>
      </c>
      <c r="R39">
        <v>107.91</v>
      </c>
      <c r="V39" s="12">
        <v>45941</v>
      </c>
    </row>
    <row r="40" spans="1:22" x14ac:dyDescent="0.25">
      <c r="A40">
        <v>39</v>
      </c>
      <c r="N40">
        <v>39</v>
      </c>
      <c r="O40">
        <v>95.59</v>
      </c>
      <c r="P40">
        <v>95.59</v>
      </c>
      <c r="Q40">
        <v>95.59</v>
      </c>
      <c r="R40">
        <v>107.91</v>
      </c>
      <c r="V40" s="12">
        <v>45941</v>
      </c>
    </row>
    <row r="41" spans="1:22" x14ac:dyDescent="0.25">
      <c r="A41">
        <v>40</v>
      </c>
      <c r="N41">
        <v>40</v>
      </c>
      <c r="O41">
        <v>79.100679999999997</v>
      </c>
      <c r="P41">
        <v>79.100679999999997</v>
      </c>
      <c r="Q41">
        <v>79.100679999999997</v>
      </c>
      <c r="R41">
        <v>107.91</v>
      </c>
      <c r="V41" s="12">
        <v>45941</v>
      </c>
    </row>
    <row r="42" spans="1:22" x14ac:dyDescent="0.25">
      <c r="A42">
        <v>41</v>
      </c>
      <c r="N42">
        <v>41</v>
      </c>
      <c r="O42">
        <v>107.91</v>
      </c>
      <c r="P42">
        <v>107.91</v>
      </c>
      <c r="Q42">
        <v>107.91</v>
      </c>
      <c r="R42">
        <v>107.91</v>
      </c>
      <c r="V42" s="12">
        <v>45941</v>
      </c>
    </row>
    <row r="43" spans="1:22" x14ac:dyDescent="0.25">
      <c r="A43">
        <v>42</v>
      </c>
      <c r="N43">
        <v>42</v>
      </c>
      <c r="O43">
        <v>97</v>
      </c>
      <c r="P43">
        <v>97</v>
      </c>
      <c r="Q43">
        <v>97</v>
      </c>
      <c r="R43">
        <v>107.91</v>
      </c>
      <c r="V43" s="12">
        <v>45941</v>
      </c>
    </row>
    <row r="44" spans="1:22" x14ac:dyDescent="0.25">
      <c r="A44">
        <v>43</v>
      </c>
      <c r="N44">
        <v>43</v>
      </c>
      <c r="O44">
        <v>81.319999999999993</v>
      </c>
      <c r="P44">
        <v>81.319999999999993</v>
      </c>
      <c r="Q44">
        <v>81.319999999999993</v>
      </c>
      <c r="R44">
        <v>107.91</v>
      </c>
      <c r="V44" s="12">
        <v>45941</v>
      </c>
    </row>
    <row r="45" spans="1:22" x14ac:dyDescent="0.25">
      <c r="A45">
        <v>44</v>
      </c>
      <c r="N45">
        <v>44</v>
      </c>
      <c r="O45">
        <v>77.81</v>
      </c>
      <c r="P45">
        <v>77.81</v>
      </c>
      <c r="Q45">
        <v>77.81</v>
      </c>
      <c r="R45">
        <v>107.91</v>
      </c>
      <c r="V45" s="12">
        <v>45941</v>
      </c>
    </row>
    <row r="46" spans="1:22" x14ac:dyDescent="0.25">
      <c r="A46">
        <v>45</v>
      </c>
      <c r="N46">
        <v>45</v>
      </c>
      <c r="O46">
        <v>86</v>
      </c>
      <c r="P46">
        <v>86</v>
      </c>
      <c r="Q46">
        <v>86</v>
      </c>
      <c r="R46">
        <v>107.91</v>
      </c>
      <c r="V46" s="12">
        <v>45941</v>
      </c>
    </row>
    <row r="47" spans="1:22" x14ac:dyDescent="0.25">
      <c r="A47">
        <v>46</v>
      </c>
      <c r="N47">
        <v>46</v>
      </c>
      <c r="O47">
        <v>74.260000000000005</v>
      </c>
      <c r="P47">
        <v>74.260000000000005</v>
      </c>
      <c r="Q47">
        <v>74.260000000000005</v>
      </c>
      <c r="R47">
        <v>107.91</v>
      </c>
      <c r="V47" s="12">
        <v>45941</v>
      </c>
    </row>
    <row r="48" spans="1:22" x14ac:dyDescent="0.25">
      <c r="A48">
        <v>47</v>
      </c>
      <c r="N48">
        <v>47</v>
      </c>
      <c r="O48">
        <v>59.3</v>
      </c>
      <c r="P48">
        <v>59.3</v>
      </c>
      <c r="Q48">
        <v>59.3</v>
      </c>
      <c r="R48">
        <v>107.91</v>
      </c>
      <c r="V48" s="12">
        <v>45941</v>
      </c>
    </row>
    <row r="49" spans="1:22" x14ac:dyDescent="0.25">
      <c r="A49">
        <v>48</v>
      </c>
      <c r="N49">
        <v>48</v>
      </c>
      <c r="O49">
        <v>53.491889999999998</v>
      </c>
      <c r="P49">
        <v>53.491889999999998</v>
      </c>
      <c r="Q49">
        <v>53.491889999999998</v>
      </c>
      <c r="R49">
        <v>107.91</v>
      </c>
      <c r="V49" s="12">
        <v>45941</v>
      </c>
    </row>
    <row r="50" spans="1:22" x14ac:dyDescent="0.25">
      <c r="A50">
        <v>49</v>
      </c>
      <c r="N50">
        <v>49</v>
      </c>
      <c r="O50">
        <v>59.17</v>
      </c>
      <c r="P50">
        <v>59.17</v>
      </c>
      <c r="Q50">
        <v>59.17</v>
      </c>
      <c r="R50">
        <v>107.91</v>
      </c>
      <c r="V50" s="12">
        <v>45941</v>
      </c>
    </row>
    <row r="51" spans="1:22" x14ac:dyDescent="0.25">
      <c r="A51">
        <v>50</v>
      </c>
      <c r="N51">
        <v>50</v>
      </c>
      <c r="O51">
        <v>50</v>
      </c>
      <c r="P51">
        <v>50</v>
      </c>
      <c r="Q51">
        <v>50</v>
      </c>
      <c r="R51">
        <v>107.91</v>
      </c>
      <c r="V51" s="12">
        <v>45941</v>
      </c>
    </row>
    <row r="52" spans="1:22" x14ac:dyDescent="0.25">
      <c r="A52">
        <v>51</v>
      </c>
      <c r="N52">
        <v>51</v>
      </c>
      <c r="O52">
        <v>40</v>
      </c>
      <c r="P52">
        <v>40</v>
      </c>
      <c r="Q52">
        <v>40</v>
      </c>
      <c r="R52">
        <v>100.37</v>
      </c>
      <c r="V52" s="12">
        <v>45941</v>
      </c>
    </row>
    <row r="53" spans="1:22" x14ac:dyDescent="0.25">
      <c r="A53">
        <v>52</v>
      </c>
      <c r="N53">
        <v>52</v>
      </c>
      <c r="O53">
        <v>35</v>
      </c>
      <c r="P53">
        <v>35</v>
      </c>
      <c r="Q53">
        <v>35</v>
      </c>
      <c r="R53">
        <v>82.39</v>
      </c>
      <c r="V53" s="12">
        <v>45941</v>
      </c>
    </row>
    <row r="54" spans="1:22" x14ac:dyDescent="0.25">
      <c r="A54">
        <v>53</v>
      </c>
      <c r="N54">
        <v>53</v>
      </c>
      <c r="O54">
        <v>39.75</v>
      </c>
      <c r="P54">
        <v>39.75</v>
      </c>
      <c r="Q54">
        <v>39.75</v>
      </c>
      <c r="R54">
        <v>83.55</v>
      </c>
      <c r="V54" s="12">
        <v>45941</v>
      </c>
    </row>
    <row r="55" spans="1:22" x14ac:dyDescent="0.25">
      <c r="A55">
        <v>54</v>
      </c>
      <c r="N55">
        <v>54</v>
      </c>
      <c r="O55">
        <v>31</v>
      </c>
      <c r="P55">
        <v>31</v>
      </c>
      <c r="Q55">
        <v>31</v>
      </c>
      <c r="R55">
        <v>83.54</v>
      </c>
      <c r="V55" s="12">
        <v>45941</v>
      </c>
    </row>
    <row r="56" spans="1:22" x14ac:dyDescent="0.25">
      <c r="A56">
        <v>55</v>
      </c>
      <c r="N56">
        <v>55</v>
      </c>
      <c r="O56">
        <v>27.51</v>
      </c>
      <c r="P56">
        <v>27.51</v>
      </c>
      <c r="Q56">
        <v>27.51</v>
      </c>
      <c r="R56">
        <v>58.53</v>
      </c>
      <c r="V56" s="12">
        <v>45941</v>
      </c>
    </row>
    <row r="57" spans="1:22" x14ac:dyDescent="0.25">
      <c r="A57">
        <v>56</v>
      </c>
      <c r="N57">
        <v>56</v>
      </c>
      <c r="O57">
        <v>25</v>
      </c>
      <c r="P57">
        <v>25</v>
      </c>
      <c r="Q57">
        <v>25</v>
      </c>
      <c r="R57">
        <v>58.53</v>
      </c>
      <c r="V57" s="12">
        <v>45941</v>
      </c>
    </row>
    <row r="58" spans="1:22" x14ac:dyDescent="0.25">
      <c r="A58">
        <v>57</v>
      </c>
      <c r="N58">
        <v>57</v>
      </c>
      <c r="O58">
        <v>34.99</v>
      </c>
      <c r="P58">
        <v>34.99</v>
      </c>
      <c r="Q58">
        <v>34.99</v>
      </c>
      <c r="R58">
        <v>73.900000000000006</v>
      </c>
      <c r="V58" s="12">
        <v>45941</v>
      </c>
    </row>
    <row r="59" spans="1:22" x14ac:dyDescent="0.25">
      <c r="A59">
        <v>58</v>
      </c>
      <c r="N59">
        <v>58</v>
      </c>
      <c r="O59">
        <v>37.70382</v>
      </c>
      <c r="P59">
        <v>37.70382</v>
      </c>
      <c r="Q59">
        <v>37.70382</v>
      </c>
      <c r="R59">
        <v>73.989999999999995</v>
      </c>
      <c r="V59" s="12">
        <v>45941</v>
      </c>
    </row>
    <row r="60" spans="1:22" x14ac:dyDescent="0.25">
      <c r="A60">
        <v>59</v>
      </c>
      <c r="N60">
        <v>59</v>
      </c>
      <c r="O60">
        <v>45.53</v>
      </c>
      <c r="P60">
        <v>45.53</v>
      </c>
      <c r="Q60">
        <v>45.53</v>
      </c>
      <c r="R60">
        <v>99.13</v>
      </c>
      <c r="V60" s="12">
        <v>45941</v>
      </c>
    </row>
    <row r="61" spans="1:22" x14ac:dyDescent="0.25">
      <c r="A61">
        <v>60</v>
      </c>
      <c r="N61">
        <v>60</v>
      </c>
      <c r="O61">
        <v>50</v>
      </c>
      <c r="P61">
        <v>50</v>
      </c>
      <c r="Q61">
        <v>50</v>
      </c>
      <c r="R61">
        <v>107.91</v>
      </c>
      <c r="V61" s="12">
        <v>45941</v>
      </c>
    </row>
    <row r="62" spans="1:22" x14ac:dyDescent="0.25">
      <c r="A62">
        <v>61</v>
      </c>
      <c r="N62">
        <v>61</v>
      </c>
      <c r="O62">
        <v>53.967059999999996</v>
      </c>
      <c r="P62">
        <v>53.967059999999996</v>
      </c>
      <c r="Q62">
        <v>53.967059999999996</v>
      </c>
      <c r="R62">
        <v>107.91</v>
      </c>
      <c r="V62" s="12">
        <v>45941</v>
      </c>
    </row>
    <row r="63" spans="1:22" x14ac:dyDescent="0.25">
      <c r="A63">
        <v>62</v>
      </c>
      <c r="N63">
        <v>62</v>
      </c>
      <c r="O63">
        <v>54.79</v>
      </c>
      <c r="P63">
        <v>54.79</v>
      </c>
      <c r="Q63">
        <v>54.79</v>
      </c>
      <c r="R63">
        <v>107.91</v>
      </c>
      <c r="V63" s="12">
        <v>45941</v>
      </c>
    </row>
    <row r="64" spans="1:22" x14ac:dyDescent="0.25">
      <c r="A64">
        <v>63</v>
      </c>
      <c r="N64">
        <v>63</v>
      </c>
      <c r="O64">
        <v>60</v>
      </c>
      <c r="P64">
        <v>60</v>
      </c>
      <c r="Q64">
        <v>60</v>
      </c>
      <c r="R64">
        <v>107.91</v>
      </c>
      <c r="V64" s="12">
        <v>45941</v>
      </c>
    </row>
    <row r="65" spans="1:22" x14ac:dyDescent="0.25">
      <c r="A65">
        <v>64</v>
      </c>
      <c r="N65">
        <v>64</v>
      </c>
      <c r="O65">
        <v>69.989999999999995</v>
      </c>
      <c r="P65">
        <v>69.989999999999995</v>
      </c>
      <c r="Q65">
        <v>69.989999999999995</v>
      </c>
      <c r="R65">
        <v>107.91</v>
      </c>
      <c r="V65" s="12">
        <v>45941</v>
      </c>
    </row>
    <row r="66" spans="1:22" x14ac:dyDescent="0.25">
      <c r="A66">
        <v>65</v>
      </c>
      <c r="N66">
        <v>65</v>
      </c>
      <c r="O66">
        <v>69.989999999999995</v>
      </c>
      <c r="P66">
        <v>69.989999999999995</v>
      </c>
      <c r="Q66">
        <v>69.989999999999995</v>
      </c>
      <c r="R66">
        <v>107.91</v>
      </c>
      <c r="V66" s="12">
        <v>45941</v>
      </c>
    </row>
    <row r="67" spans="1:22" x14ac:dyDescent="0.25">
      <c r="A67">
        <v>66</v>
      </c>
      <c r="N67">
        <v>66</v>
      </c>
      <c r="O67">
        <v>86.566900000000004</v>
      </c>
      <c r="P67">
        <v>86.566900000000004</v>
      </c>
      <c r="Q67">
        <v>86.566900000000004</v>
      </c>
      <c r="R67">
        <v>107.91</v>
      </c>
      <c r="V67" s="12">
        <v>45941</v>
      </c>
    </row>
    <row r="68" spans="1:22" x14ac:dyDescent="0.25">
      <c r="A68">
        <v>67</v>
      </c>
      <c r="N68">
        <v>67</v>
      </c>
      <c r="O68">
        <v>103.33</v>
      </c>
      <c r="P68">
        <v>103.33</v>
      </c>
      <c r="Q68">
        <v>103.33</v>
      </c>
      <c r="R68">
        <v>107.91</v>
      </c>
      <c r="V68" s="12">
        <v>45941</v>
      </c>
    </row>
    <row r="69" spans="1:22" x14ac:dyDescent="0.25">
      <c r="A69">
        <v>68</v>
      </c>
      <c r="N69">
        <v>68</v>
      </c>
      <c r="O69">
        <v>119.5</v>
      </c>
      <c r="P69">
        <v>119.5</v>
      </c>
      <c r="Q69">
        <v>119.5</v>
      </c>
      <c r="R69">
        <v>119.5</v>
      </c>
      <c r="V69" s="12">
        <v>45941</v>
      </c>
    </row>
    <row r="70" spans="1:22" x14ac:dyDescent="0.25">
      <c r="A70">
        <v>69</v>
      </c>
      <c r="N70">
        <v>69</v>
      </c>
      <c r="O70">
        <v>91.286730000000006</v>
      </c>
      <c r="P70">
        <v>91.286730000000006</v>
      </c>
      <c r="Q70">
        <v>91.286730000000006</v>
      </c>
      <c r="R70">
        <v>107.91</v>
      </c>
      <c r="V70" s="12">
        <v>45941</v>
      </c>
    </row>
    <row r="71" spans="1:22" x14ac:dyDescent="0.25">
      <c r="A71">
        <v>70</v>
      </c>
      <c r="N71">
        <v>70</v>
      </c>
      <c r="O71">
        <v>106.73</v>
      </c>
      <c r="P71">
        <v>106.73</v>
      </c>
      <c r="Q71">
        <v>106.73</v>
      </c>
      <c r="R71">
        <v>107.91</v>
      </c>
      <c r="V71" s="12">
        <v>45941</v>
      </c>
    </row>
    <row r="72" spans="1:22" x14ac:dyDescent="0.25">
      <c r="A72">
        <v>71</v>
      </c>
      <c r="N72">
        <v>71</v>
      </c>
      <c r="O72">
        <v>130</v>
      </c>
      <c r="P72">
        <v>130</v>
      </c>
      <c r="Q72">
        <v>130</v>
      </c>
      <c r="R72">
        <v>130</v>
      </c>
      <c r="V72" s="12">
        <v>45941</v>
      </c>
    </row>
    <row r="73" spans="1:22" x14ac:dyDescent="0.25">
      <c r="A73">
        <v>72</v>
      </c>
      <c r="N73">
        <v>72</v>
      </c>
      <c r="O73">
        <v>132.78</v>
      </c>
      <c r="P73">
        <v>132.78</v>
      </c>
      <c r="Q73">
        <v>132.78</v>
      </c>
      <c r="R73">
        <v>132.78</v>
      </c>
      <c r="V73" s="12">
        <v>45941</v>
      </c>
    </row>
    <row r="74" spans="1:22" x14ac:dyDescent="0.25">
      <c r="A74">
        <v>73</v>
      </c>
      <c r="N74">
        <v>73</v>
      </c>
      <c r="O74">
        <v>127.5</v>
      </c>
      <c r="P74">
        <v>127.5</v>
      </c>
      <c r="Q74">
        <v>127.5</v>
      </c>
      <c r="R74">
        <v>127.5</v>
      </c>
      <c r="V74" s="12">
        <v>45941</v>
      </c>
    </row>
    <row r="75" spans="1:22" x14ac:dyDescent="0.25">
      <c r="A75">
        <v>74</v>
      </c>
      <c r="N75">
        <v>74</v>
      </c>
      <c r="O75">
        <v>129</v>
      </c>
      <c r="P75">
        <v>129</v>
      </c>
      <c r="Q75">
        <v>129</v>
      </c>
      <c r="R75">
        <v>129</v>
      </c>
      <c r="V75" s="12">
        <v>45941</v>
      </c>
    </row>
    <row r="76" spans="1:22" x14ac:dyDescent="0.25">
      <c r="A76">
        <v>75</v>
      </c>
      <c r="N76">
        <v>75</v>
      </c>
      <c r="O76">
        <v>140</v>
      </c>
      <c r="P76">
        <v>140</v>
      </c>
      <c r="Q76">
        <v>140</v>
      </c>
      <c r="R76">
        <v>140</v>
      </c>
      <c r="V76" s="12">
        <v>45941</v>
      </c>
    </row>
    <row r="77" spans="1:22" x14ac:dyDescent="0.25">
      <c r="A77">
        <v>76</v>
      </c>
      <c r="N77">
        <v>76</v>
      </c>
      <c r="O77">
        <v>149.82547</v>
      </c>
      <c r="P77">
        <v>149.82547</v>
      </c>
      <c r="Q77">
        <v>149.82547</v>
      </c>
      <c r="R77">
        <v>149.82547</v>
      </c>
      <c r="V77" s="12">
        <v>45941</v>
      </c>
    </row>
    <row r="78" spans="1:22" x14ac:dyDescent="0.25">
      <c r="A78">
        <v>77</v>
      </c>
      <c r="N78">
        <v>77</v>
      </c>
      <c r="O78">
        <v>136</v>
      </c>
      <c r="P78">
        <v>136</v>
      </c>
      <c r="Q78">
        <v>136</v>
      </c>
      <c r="R78">
        <v>136</v>
      </c>
      <c r="V78" s="12">
        <v>45941</v>
      </c>
    </row>
    <row r="79" spans="1:22" x14ac:dyDescent="0.25">
      <c r="A79">
        <v>78</v>
      </c>
      <c r="N79">
        <v>78</v>
      </c>
      <c r="O79">
        <v>149.56</v>
      </c>
      <c r="P79">
        <v>149.56</v>
      </c>
      <c r="Q79">
        <v>149.56</v>
      </c>
      <c r="R79">
        <v>149.56</v>
      </c>
      <c r="V79" s="12">
        <v>45941</v>
      </c>
    </row>
    <row r="80" spans="1:22" x14ac:dyDescent="0.25">
      <c r="A80">
        <v>79</v>
      </c>
      <c r="N80">
        <v>79</v>
      </c>
      <c r="O80">
        <v>150</v>
      </c>
      <c r="P80">
        <v>150</v>
      </c>
      <c r="Q80">
        <v>150</v>
      </c>
      <c r="R80">
        <v>150</v>
      </c>
      <c r="V80" s="12">
        <v>45941</v>
      </c>
    </row>
    <row r="81" spans="1:22" x14ac:dyDescent="0.25">
      <c r="A81">
        <v>80</v>
      </c>
      <c r="N81">
        <v>80</v>
      </c>
      <c r="O81">
        <v>149.56</v>
      </c>
      <c r="P81">
        <v>149.56</v>
      </c>
      <c r="Q81">
        <v>149.56</v>
      </c>
      <c r="R81">
        <v>149.56</v>
      </c>
      <c r="V81" s="12">
        <v>45941</v>
      </c>
    </row>
    <row r="82" spans="1:22" x14ac:dyDescent="0.25">
      <c r="A82">
        <v>81</v>
      </c>
      <c r="N82">
        <v>81</v>
      </c>
      <c r="O82">
        <v>149.56</v>
      </c>
      <c r="P82">
        <v>149.56</v>
      </c>
      <c r="Q82">
        <v>149.56</v>
      </c>
      <c r="R82">
        <v>149.56</v>
      </c>
      <c r="V82" s="12">
        <v>45941</v>
      </c>
    </row>
    <row r="83" spans="1:22" x14ac:dyDescent="0.25">
      <c r="A83">
        <v>82</v>
      </c>
      <c r="N83">
        <v>82</v>
      </c>
      <c r="O83">
        <v>130.33797999999999</v>
      </c>
      <c r="P83">
        <v>130.33797999999999</v>
      </c>
      <c r="Q83">
        <v>130.33797999999999</v>
      </c>
      <c r="R83">
        <v>130.33797999999999</v>
      </c>
      <c r="V83" s="12">
        <v>45941</v>
      </c>
    </row>
    <row r="84" spans="1:22" x14ac:dyDescent="0.25">
      <c r="A84">
        <v>83</v>
      </c>
      <c r="N84">
        <v>83</v>
      </c>
      <c r="O84">
        <v>128.51</v>
      </c>
      <c r="P84">
        <v>128.51</v>
      </c>
      <c r="Q84">
        <v>128.51</v>
      </c>
      <c r="R84">
        <v>128.51</v>
      </c>
      <c r="V84" s="12">
        <v>45941</v>
      </c>
    </row>
    <row r="85" spans="1:22" x14ac:dyDescent="0.25">
      <c r="A85">
        <v>84</v>
      </c>
      <c r="N85">
        <v>84</v>
      </c>
      <c r="O85">
        <v>128.51</v>
      </c>
      <c r="P85">
        <v>128.51</v>
      </c>
      <c r="Q85">
        <v>128.51</v>
      </c>
      <c r="R85">
        <v>128.51</v>
      </c>
      <c r="V85" s="12">
        <v>45941</v>
      </c>
    </row>
    <row r="86" spans="1:22" x14ac:dyDescent="0.25">
      <c r="A86">
        <v>85</v>
      </c>
      <c r="N86">
        <v>85</v>
      </c>
      <c r="O86">
        <v>128.51</v>
      </c>
      <c r="P86">
        <v>128.51</v>
      </c>
      <c r="Q86">
        <v>128.51</v>
      </c>
      <c r="R86">
        <v>128.51</v>
      </c>
      <c r="V86" s="12">
        <v>45941</v>
      </c>
    </row>
    <row r="87" spans="1:22" x14ac:dyDescent="0.25">
      <c r="A87">
        <v>86</v>
      </c>
      <c r="N87">
        <v>86</v>
      </c>
      <c r="O87">
        <v>127.5</v>
      </c>
      <c r="P87">
        <v>127.5</v>
      </c>
      <c r="Q87">
        <v>127.5</v>
      </c>
      <c r="R87">
        <v>127.5</v>
      </c>
      <c r="V87" s="12">
        <v>45941</v>
      </c>
    </row>
    <row r="88" spans="1:22" x14ac:dyDescent="0.25">
      <c r="A88">
        <v>87</v>
      </c>
      <c r="N88">
        <v>87</v>
      </c>
      <c r="O88">
        <v>124.03</v>
      </c>
      <c r="P88">
        <v>124.03</v>
      </c>
      <c r="Q88">
        <v>124.03</v>
      </c>
      <c r="R88">
        <v>124.03</v>
      </c>
      <c r="V88" s="12">
        <v>45941</v>
      </c>
    </row>
    <row r="89" spans="1:22" x14ac:dyDescent="0.25">
      <c r="A89">
        <v>88</v>
      </c>
      <c r="N89">
        <v>88</v>
      </c>
      <c r="O89">
        <v>121</v>
      </c>
      <c r="P89">
        <v>121</v>
      </c>
      <c r="Q89">
        <v>121</v>
      </c>
      <c r="R89">
        <v>124.03</v>
      </c>
      <c r="V89" s="12">
        <v>45941</v>
      </c>
    </row>
    <row r="90" spans="1:22" x14ac:dyDescent="0.25">
      <c r="A90">
        <v>89</v>
      </c>
      <c r="N90">
        <v>89</v>
      </c>
      <c r="O90">
        <v>127.83328</v>
      </c>
      <c r="P90">
        <v>127.83328</v>
      </c>
      <c r="Q90">
        <v>127.83328</v>
      </c>
      <c r="R90">
        <v>127.83328</v>
      </c>
      <c r="V90" s="12">
        <v>45941</v>
      </c>
    </row>
    <row r="91" spans="1:22" x14ac:dyDescent="0.25">
      <c r="A91">
        <v>90</v>
      </c>
      <c r="N91">
        <v>90</v>
      </c>
      <c r="O91">
        <v>120</v>
      </c>
      <c r="P91">
        <v>120</v>
      </c>
      <c r="Q91">
        <v>120</v>
      </c>
      <c r="R91">
        <v>120</v>
      </c>
      <c r="V91" s="12">
        <v>45941</v>
      </c>
    </row>
    <row r="92" spans="1:22" x14ac:dyDescent="0.25">
      <c r="A92">
        <v>91</v>
      </c>
      <c r="N92">
        <v>91</v>
      </c>
      <c r="O92">
        <v>114</v>
      </c>
      <c r="P92">
        <v>114</v>
      </c>
      <c r="Q92">
        <v>114</v>
      </c>
      <c r="R92">
        <v>114</v>
      </c>
      <c r="V92" s="12">
        <v>45941</v>
      </c>
    </row>
    <row r="93" spans="1:22" x14ac:dyDescent="0.25">
      <c r="A93">
        <v>92</v>
      </c>
      <c r="N93">
        <v>92</v>
      </c>
      <c r="O93">
        <v>109.58</v>
      </c>
      <c r="P93">
        <v>109.58</v>
      </c>
      <c r="Q93">
        <v>109.58</v>
      </c>
      <c r="R93">
        <v>109.58</v>
      </c>
      <c r="V93" s="12">
        <v>45941</v>
      </c>
    </row>
    <row r="94" spans="1:22" x14ac:dyDescent="0.25">
      <c r="A94">
        <v>93</v>
      </c>
      <c r="N94">
        <v>93</v>
      </c>
      <c r="O94">
        <v>115</v>
      </c>
      <c r="P94">
        <v>115</v>
      </c>
      <c r="Q94">
        <v>115</v>
      </c>
      <c r="R94">
        <v>115</v>
      </c>
      <c r="V94" s="12">
        <v>45941</v>
      </c>
    </row>
    <row r="95" spans="1:22" x14ac:dyDescent="0.25">
      <c r="A95">
        <v>94</v>
      </c>
      <c r="N95">
        <v>94</v>
      </c>
      <c r="O95">
        <v>109.58</v>
      </c>
      <c r="P95">
        <v>109.58</v>
      </c>
      <c r="Q95">
        <v>109.58</v>
      </c>
      <c r="R95">
        <v>109.58</v>
      </c>
      <c r="V95" s="12">
        <v>45941</v>
      </c>
    </row>
    <row r="96" spans="1:22" x14ac:dyDescent="0.25">
      <c r="A96">
        <v>95</v>
      </c>
      <c r="N96">
        <v>95</v>
      </c>
      <c r="O96">
        <v>103.41</v>
      </c>
      <c r="P96">
        <v>103.41</v>
      </c>
      <c r="Q96">
        <v>103.41</v>
      </c>
      <c r="R96">
        <v>107.91</v>
      </c>
      <c r="V96" s="12">
        <v>45941</v>
      </c>
    </row>
    <row r="97" spans="1:22" x14ac:dyDescent="0.25">
      <c r="A97">
        <v>96</v>
      </c>
      <c r="N97">
        <v>96</v>
      </c>
      <c r="O97">
        <v>97.52</v>
      </c>
      <c r="P97">
        <v>97.52</v>
      </c>
      <c r="Q97">
        <v>97.52</v>
      </c>
      <c r="R97">
        <v>107.91</v>
      </c>
      <c r="V97" s="12">
        <v>45941</v>
      </c>
    </row>
  </sheetData>
  <mergeCells count="2">
    <mergeCell ref="S11:T14"/>
    <mergeCell ref="F11:G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4"/>
  <dimension ref="A1:CE101"/>
  <sheetViews>
    <sheetView topLeftCell="AS1" workbookViewId="0">
      <selection activeCell="CA31" sqref="CA31"/>
    </sheetView>
  </sheetViews>
  <sheetFormatPr defaultRowHeight="15" x14ac:dyDescent="0.25"/>
  <sheetData>
    <row r="1" spans="1:83" x14ac:dyDescent="0.25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O1" t="s">
        <v>24</v>
      </c>
      <c r="P1" t="s">
        <v>25</v>
      </c>
      <c r="Q1" t="s">
        <v>26</v>
      </c>
      <c r="R1" t="s">
        <v>27</v>
      </c>
      <c r="S1" t="s">
        <v>28</v>
      </c>
      <c r="T1" t="s">
        <v>29</v>
      </c>
      <c r="V1" t="s">
        <v>30</v>
      </c>
      <c r="W1" t="s">
        <v>31</v>
      </c>
      <c r="X1" t="s">
        <v>32</v>
      </c>
      <c r="Y1" t="s">
        <v>33</v>
      </c>
      <c r="Z1" t="s">
        <v>34</v>
      </c>
      <c r="AA1" t="s">
        <v>35</v>
      </c>
      <c r="AC1" t="s">
        <v>36</v>
      </c>
      <c r="AD1" t="s">
        <v>37</v>
      </c>
      <c r="AE1" t="s">
        <v>38</v>
      </c>
      <c r="AF1" t="s">
        <v>39</v>
      </c>
      <c r="AG1" t="s">
        <v>40</v>
      </c>
      <c r="AH1" t="s">
        <v>41</v>
      </c>
      <c r="AJ1" t="s">
        <v>42</v>
      </c>
      <c r="AK1" t="s">
        <v>43</v>
      </c>
      <c r="AL1" t="s">
        <v>44</v>
      </c>
      <c r="AM1" t="s">
        <v>45</v>
      </c>
      <c r="AN1" t="s">
        <v>46</v>
      </c>
      <c r="AO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X1" t="s">
        <v>54</v>
      </c>
      <c r="AY1" t="s">
        <v>55</v>
      </c>
      <c r="AZ1" t="s">
        <v>56</v>
      </c>
      <c r="BA1" t="s">
        <v>57</v>
      </c>
      <c r="BB1" t="s">
        <v>58</v>
      </c>
      <c r="BC1" t="s">
        <v>59</v>
      </c>
      <c r="BE1" t="s">
        <v>60</v>
      </c>
      <c r="BF1" t="s">
        <v>61</v>
      </c>
      <c r="BG1" t="s">
        <v>62</v>
      </c>
      <c r="BH1" t="s">
        <v>63</v>
      </c>
      <c r="BI1" t="s">
        <v>64</v>
      </c>
      <c r="BJ1" t="s">
        <v>65</v>
      </c>
      <c r="BL1" t="s">
        <v>66</v>
      </c>
      <c r="BM1" t="s">
        <v>67</v>
      </c>
      <c r="BN1" t="s">
        <v>68</v>
      </c>
      <c r="BO1" t="s">
        <v>69</v>
      </c>
      <c r="BP1" t="s">
        <v>70</v>
      </c>
      <c r="BQ1" t="s">
        <v>71</v>
      </c>
      <c r="BS1" t="s">
        <v>72</v>
      </c>
      <c r="BT1" t="s">
        <v>73</v>
      </c>
      <c r="BU1" t="s">
        <v>74</v>
      </c>
      <c r="BV1" t="s">
        <v>75</v>
      </c>
      <c r="BW1" t="s">
        <v>76</v>
      </c>
      <c r="BX1" t="s">
        <v>77</v>
      </c>
      <c r="BZ1" t="s">
        <v>78</v>
      </c>
      <c r="CA1" t="s">
        <v>79</v>
      </c>
      <c r="CB1" t="s">
        <v>80</v>
      </c>
      <c r="CC1" t="s">
        <v>81</v>
      </c>
      <c r="CD1" t="s">
        <v>82</v>
      </c>
      <c r="CE1" t="s">
        <v>83</v>
      </c>
    </row>
    <row r="2" spans="1:83" x14ac:dyDescent="0.25">
      <c r="A2" t="s">
        <v>84</v>
      </c>
      <c r="B2">
        <v>1</v>
      </c>
      <c r="C2">
        <v>116.09</v>
      </c>
      <c r="D2">
        <v>2</v>
      </c>
      <c r="E2" t="s">
        <v>85</v>
      </c>
      <c r="F2" t="s">
        <v>3</v>
      </c>
      <c r="H2" t="s">
        <v>84</v>
      </c>
      <c r="I2">
        <v>7</v>
      </c>
      <c r="J2">
        <v>100.48</v>
      </c>
      <c r="K2">
        <v>4</v>
      </c>
      <c r="L2" t="s">
        <v>85</v>
      </c>
      <c r="M2" t="s">
        <v>3</v>
      </c>
      <c r="O2" t="s">
        <v>84</v>
      </c>
      <c r="P2">
        <v>13</v>
      </c>
      <c r="Q2">
        <v>95.9</v>
      </c>
      <c r="R2">
        <v>8</v>
      </c>
      <c r="S2" t="s">
        <v>85</v>
      </c>
      <c r="T2" t="s">
        <v>3</v>
      </c>
      <c r="V2" t="s">
        <v>84</v>
      </c>
      <c r="W2">
        <v>15</v>
      </c>
      <c r="X2">
        <v>106.5</v>
      </c>
      <c r="Y2">
        <v>2</v>
      </c>
      <c r="Z2" t="s">
        <v>85</v>
      </c>
      <c r="AA2" t="s">
        <v>5</v>
      </c>
      <c r="AC2" t="s">
        <v>84</v>
      </c>
      <c r="AD2">
        <v>29</v>
      </c>
      <c r="AE2">
        <v>109.69</v>
      </c>
      <c r="AF2">
        <v>4</v>
      </c>
      <c r="AG2" t="s">
        <v>85</v>
      </c>
      <c r="AH2" t="s">
        <v>5</v>
      </c>
      <c r="AJ2" t="s">
        <v>84</v>
      </c>
      <c r="AK2">
        <v>43</v>
      </c>
      <c r="AL2">
        <v>91.09</v>
      </c>
      <c r="AM2">
        <v>8</v>
      </c>
      <c r="AN2" t="s">
        <v>85</v>
      </c>
      <c r="AO2" t="s">
        <v>5</v>
      </c>
      <c r="AQ2" t="s">
        <v>84</v>
      </c>
      <c r="AR2">
        <v>38</v>
      </c>
      <c r="AS2">
        <v>126.5</v>
      </c>
      <c r="AT2">
        <v>1</v>
      </c>
      <c r="AU2" t="s">
        <v>85</v>
      </c>
      <c r="AV2" t="s">
        <v>6</v>
      </c>
      <c r="AX2" t="s">
        <v>84</v>
      </c>
      <c r="AY2">
        <v>55</v>
      </c>
      <c r="AZ2">
        <v>94.57</v>
      </c>
      <c r="BA2">
        <v>2</v>
      </c>
      <c r="BB2" t="s">
        <v>85</v>
      </c>
      <c r="BC2" t="s">
        <v>6</v>
      </c>
      <c r="BE2" t="s">
        <v>84</v>
      </c>
      <c r="BF2">
        <v>72</v>
      </c>
      <c r="BG2">
        <v>152</v>
      </c>
      <c r="BH2">
        <v>4</v>
      </c>
      <c r="BI2" t="s">
        <v>85</v>
      </c>
      <c r="BJ2" t="s">
        <v>6</v>
      </c>
      <c r="BL2" t="s">
        <v>84</v>
      </c>
      <c r="BM2">
        <v>62</v>
      </c>
      <c r="BN2">
        <v>100.31</v>
      </c>
      <c r="BO2">
        <v>2</v>
      </c>
      <c r="BP2" t="s">
        <v>85</v>
      </c>
      <c r="BQ2" t="s">
        <v>4</v>
      </c>
      <c r="BS2" t="s">
        <v>84</v>
      </c>
      <c r="BT2">
        <v>84</v>
      </c>
      <c r="BU2">
        <v>146.56</v>
      </c>
      <c r="BV2">
        <v>4</v>
      </c>
      <c r="BW2" t="s">
        <v>85</v>
      </c>
      <c r="BX2" t="s">
        <v>4</v>
      </c>
      <c r="BZ2" t="s">
        <v>84</v>
      </c>
      <c r="CA2">
        <v>79</v>
      </c>
      <c r="CB2">
        <v>207.25</v>
      </c>
      <c r="CC2">
        <v>8</v>
      </c>
      <c r="CD2" t="s">
        <v>85</v>
      </c>
      <c r="CE2" t="s">
        <v>4</v>
      </c>
    </row>
    <row r="3" spans="1:83" x14ac:dyDescent="0.25">
      <c r="A3" t="s">
        <v>84</v>
      </c>
      <c r="B3">
        <v>2</v>
      </c>
      <c r="C3">
        <v>104.93</v>
      </c>
      <c r="D3">
        <v>2</v>
      </c>
      <c r="E3" t="s">
        <v>85</v>
      </c>
      <c r="F3" t="s">
        <v>3</v>
      </c>
      <c r="H3" t="s">
        <v>84</v>
      </c>
      <c r="I3">
        <v>8</v>
      </c>
      <c r="J3">
        <v>100.48</v>
      </c>
      <c r="K3">
        <v>4</v>
      </c>
      <c r="L3" t="s">
        <v>85</v>
      </c>
      <c r="M3" t="s">
        <v>3</v>
      </c>
      <c r="O3" t="s">
        <v>84</v>
      </c>
      <c r="P3">
        <v>14</v>
      </c>
      <c r="Q3">
        <v>97</v>
      </c>
      <c r="R3">
        <v>8</v>
      </c>
      <c r="S3" t="s">
        <v>85</v>
      </c>
      <c r="T3" t="s">
        <v>3</v>
      </c>
      <c r="V3" t="s">
        <v>84</v>
      </c>
      <c r="W3">
        <v>16</v>
      </c>
      <c r="X3">
        <v>106.93</v>
      </c>
      <c r="Y3">
        <v>2</v>
      </c>
      <c r="Z3" t="s">
        <v>85</v>
      </c>
      <c r="AA3" t="s">
        <v>5</v>
      </c>
      <c r="AC3" t="s">
        <v>84</v>
      </c>
      <c r="AD3">
        <v>30</v>
      </c>
      <c r="AE3">
        <v>134.97</v>
      </c>
      <c r="AF3">
        <v>4</v>
      </c>
      <c r="AG3" t="s">
        <v>85</v>
      </c>
      <c r="AH3" t="s">
        <v>5</v>
      </c>
      <c r="AJ3" t="s">
        <v>84</v>
      </c>
      <c r="AK3">
        <v>44</v>
      </c>
      <c r="AL3">
        <v>89.29</v>
      </c>
      <c r="AM3">
        <v>8</v>
      </c>
      <c r="AN3" t="s">
        <v>85</v>
      </c>
      <c r="AO3" t="s">
        <v>5</v>
      </c>
      <c r="AQ3" t="s">
        <v>84</v>
      </c>
      <c r="AR3">
        <v>39</v>
      </c>
      <c r="AS3">
        <v>118.93</v>
      </c>
      <c r="AT3">
        <v>1</v>
      </c>
      <c r="AU3" t="s">
        <v>85</v>
      </c>
      <c r="AV3" t="s">
        <v>6</v>
      </c>
      <c r="AX3" t="s">
        <v>84</v>
      </c>
      <c r="AY3">
        <v>56</v>
      </c>
      <c r="AZ3">
        <v>97</v>
      </c>
      <c r="BA3">
        <v>2</v>
      </c>
      <c r="BB3" t="s">
        <v>85</v>
      </c>
      <c r="BC3" t="s">
        <v>6</v>
      </c>
      <c r="BE3" t="s">
        <v>84</v>
      </c>
      <c r="BF3">
        <v>73</v>
      </c>
      <c r="BG3">
        <v>124.86</v>
      </c>
      <c r="BH3">
        <v>4</v>
      </c>
      <c r="BI3" t="s">
        <v>85</v>
      </c>
      <c r="BJ3" t="s">
        <v>6</v>
      </c>
      <c r="BL3" t="s">
        <v>84</v>
      </c>
      <c r="BM3">
        <v>63</v>
      </c>
      <c r="BN3">
        <v>105.31</v>
      </c>
      <c r="BO3">
        <v>2</v>
      </c>
      <c r="BP3" t="s">
        <v>85</v>
      </c>
      <c r="BQ3" t="s">
        <v>4</v>
      </c>
      <c r="BS3" t="s">
        <v>84</v>
      </c>
      <c r="BT3">
        <v>85</v>
      </c>
      <c r="BU3">
        <v>147.36000000000001</v>
      </c>
      <c r="BV3">
        <v>4</v>
      </c>
      <c r="BW3" t="s">
        <v>85</v>
      </c>
      <c r="BX3" t="s">
        <v>4</v>
      </c>
      <c r="BZ3" t="s">
        <v>84</v>
      </c>
      <c r="CA3">
        <v>80</v>
      </c>
      <c r="CB3">
        <v>207.25</v>
      </c>
      <c r="CC3">
        <v>8</v>
      </c>
      <c r="CD3" t="s">
        <v>85</v>
      </c>
      <c r="CE3" t="s">
        <v>4</v>
      </c>
    </row>
    <row r="4" spans="1:83" x14ac:dyDescent="0.25">
      <c r="A4" t="s">
        <v>84</v>
      </c>
      <c r="B4">
        <v>3</v>
      </c>
      <c r="C4">
        <v>98.98</v>
      </c>
      <c r="D4">
        <v>2</v>
      </c>
      <c r="E4" t="s">
        <v>85</v>
      </c>
      <c r="F4" t="s">
        <v>3</v>
      </c>
      <c r="H4" t="s">
        <v>84</v>
      </c>
      <c r="I4">
        <v>9</v>
      </c>
      <c r="J4">
        <v>100.48</v>
      </c>
      <c r="K4">
        <v>4</v>
      </c>
      <c r="L4" t="s">
        <v>85</v>
      </c>
      <c r="M4" t="s">
        <v>3</v>
      </c>
      <c r="O4" t="s">
        <v>84</v>
      </c>
      <c r="P4">
        <v>15</v>
      </c>
      <c r="Q4">
        <v>97</v>
      </c>
      <c r="R4">
        <v>8</v>
      </c>
      <c r="S4" t="s">
        <v>85</v>
      </c>
      <c r="T4" t="s">
        <v>3</v>
      </c>
      <c r="V4" t="s">
        <v>84</v>
      </c>
      <c r="W4">
        <v>17</v>
      </c>
      <c r="X4">
        <v>100.54</v>
      </c>
      <c r="Y4">
        <v>2</v>
      </c>
      <c r="Z4" t="s">
        <v>85</v>
      </c>
      <c r="AA4" t="s">
        <v>5</v>
      </c>
      <c r="AC4" t="s">
        <v>84</v>
      </c>
      <c r="AD4">
        <v>31</v>
      </c>
      <c r="AE4">
        <v>161.59</v>
      </c>
      <c r="AF4">
        <v>4</v>
      </c>
      <c r="AG4" t="s">
        <v>85</v>
      </c>
      <c r="AH4" t="s">
        <v>5</v>
      </c>
      <c r="AJ4" t="s">
        <v>84</v>
      </c>
      <c r="AK4">
        <v>45</v>
      </c>
      <c r="AL4">
        <v>93.11</v>
      </c>
      <c r="AM4">
        <v>8</v>
      </c>
      <c r="AN4" t="s">
        <v>85</v>
      </c>
      <c r="AO4" t="s">
        <v>5</v>
      </c>
      <c r="AQ4" t="s">
        <v>84</v>
      </c>
      <c r="AR4">
        <v>40</v>
      </c>
      <c r="AS4">
        <v>102.02</v>
      </c>
      <c r="AT4">
        <v>1</v>
      </c>
      <c r="AU4" t="s">
        <v>85</v>
      </c>
      <c r="AV4" t="s">
        <v>6</v>
      </c>
      <c r="AX4" t="s">
        <v>84</v>
      </c>
      <c r="AY4">
        <v>57</v>
      </c>
      <c r="AZ4">
        <v>97.7</v>
      </c>
      <c r="BA4">
        <v>2</v>
      </c>
      <c r="BB4" t="s">
        <v>85</v>
      </c>
      <c r="BC4" t="s">
        <v>6</v>
      </c>
      <c r="BE4" t="s">
        <v>84</v>
      </c>
      <c r="BF4">
        <v>74</v>
      </c>
      <c r="BG4">
        <v>142.56</v>
      </c>
      <c r="BH4">
        <v>4</v>
      </c>
      <c r="BI4" t="s">
        <v>85</v>
      </c>
      <c r="BJ4" t="s">
        <v>6</v>
      </c>
      <c r="BL4" t="s">
        <v>84</v>
      </c>
      <c r="BM4">
        <v>64</v>
      </c>
      <c r="BN4">
        <v>106.49</v>
      </c>
      <c r="BO4">
        <v>2</v>
      </c>
      <c r="BP4" t="s">
        <v>85</v>
      </c>
      <c r="BQ4" t="s">
        <v>4</v>
      </c>
      <c r="BS4" t="s">
        <v>84</v>
      </c>
      <c r="BT4">
        <v>88</v>
      </c>
      <c r="BU4">
        <v>101</v>
      </c>
      <c r="BV4">
        <v>4</v>
      </c>
      <c r="BW4" t="s">
        <v>85</v>
      </c>
      <c r="BX4" t="s">
        <v>4</v>
      </c>
      <c r="BZ4" t="s">
        <v>84</v>
      </c>
      <c r="CA4">
        <v>81</v>
      </c>
      <c r="CB4">
        <v>207.25</v>
      </c>
      <c r="CC4">
        <v>8</v>
      </c>
      <c r="CD4" t="s">
        <v>85</v>
      </c>
      <c r="CE4" t="s">
        <v>4</v>
      </c>
    </row>
    <row r="5" spans="1:83" x14ac:dyDescent="0.25">
      <c r="A5" t="s">
        <v>84</v>
      </c>
      <c r="B5">
        <v>4</v>
      </c>
      <c r="C5">
        <v>95.87</v>
      </c>
      <c r="D5">
        <v>2</v>
      </c>
      <c r="E5" t="s">
        <v>85</v>
      </c>
      <c r="F5" t="s">
        <v>3</v>
      </c>
      <c r="H5" t="s">
        <v>84</v>
      </c>
      <c r="I5">
        <v>10</v>
      </c>
      <c r="J5">
        <v>100.48</v>
      </c>
      <c r="K5">
        <v>4</v>
      </c>
      <c r="L5" t="s">
        <v>85</v>
      </c>
      <c r="M5" t="s">
        <v>3</v>
      </c>
      <c r="O5" t="s">
        <v>84</v>
      </c>
      <c r="P5">
        <v>16</v>
      </c>
      <c r="Q5">
        <v>97.43</v>
      </c>
      <c r="R5">
        <v>8</v>
      </c>
      <c r="S5" t="s">
        <v>85</v>
      </c>
      <c r="T5" t="s">
        <v>3</v>
      </c>
      <c r="V5" t="s">
        <v>84</v>
      </c>
      <c r="W5">
        <v>18</v>
      </c>
      <c r="X5">
        <v>101.88</v>
      </c>
      <c r="Y5">
        <v>2</v>
      </c>
      <c r="Z5" t="s">
        <v>85</v>
      </c>
      <c r="AA5" t="s">
        <v>5</v>
      </c>
      <c r="AC5" t="s">
        <v>84</v>
      </c>
      <c r="AD5">
        <v>32</v>
      </c>
      <c r="AE5">
        <v>162</v>
      </c>
      <c r="AF5">
        <v>4</v>
      </c>
      <c r="AG5" t="s">
        <v>85</v>
      </c>
      <c r="AH5" t="s">
        <v>5</v>
      </c>
      <c r="AJ5" t="s">
        <v>84</v>
      </c>
      <c r="AK5">
        <v>46</v>
      </c>
      <c r="AL5">
        <v>89.48</v>
      </c>
      <c r="AM5">
        <v>8</v>
      </c>
      <c r="AN5" t="s">
        <v>85</v>
      </c>
      <c r="AO5" t="s">
        <v>5</v>
      </c>
      <c r="AQ5" t="s">
        <v>84</v>
      </c>
      <c r="AR5">
        <v>41</v>
      </c>
      <c r="AS5">
        <v>120.56</v>
      </c>
      <c r="AT5">
        <v>1</v>
      </c>
      <c r="AU5" t="s">
        <v>85</v>
      </c>
      <c r="AV5" t="s">
        <v>6</v>
      </c>
      <c r="AX5" t="s">
        <v>84</v>
      </c>
      <c r="AY5">
        <v>58</v>
      </c>
      <c r="AZ5">
        <v>99.62</v>
      </c>
      <c r="BA5">
        <v>2</v>
      </c>
      <c r="BB5" t="s">
        <v>85</v>
      </c>
      <c r="BC5" t="s">
        <v>6</v>
      </c>
      <c r="BE5" t="s">
        <v>84</v>
      </c>
      <c r="BF5">
        <v>76</v>
      </c>
      <c r="BG5">
        <v>165.07</v>
      </c>
      <c r="BH5">
        <v>4</v>
      </c>
      <c r="BI5" t="s">
        <v>85</v>
      </c>
      <c r="BJ5" t="s">
        <v>6</v>
      </c>
      <c r="BL5" t="s">
        <v>84</v>
      </c>
      <c r="BM5">
        <v>65</v>
      </c>
      <c r="BN5">
        <v>101.5</v>
      </c>
      <c r="BO5">
        <v>2</v>
      </c>
      <c r="BP5" t="s">
        <v>85</v>
      </c>
      <c r="BQ5" t="s">
        <v>4</v>
      </c>
      <c r="BS5" t="s">
        <v>84</v>
      </c>
      <c r="BT5">
        <v>89</v>
      </c>
      <c r="BU5">
        <v>127</v>
      </c>
      <c r="BV5">
        <v>4</v>
      </c>
      <c r="BW5" t="s">
        <v>85</v>
      </c>
      <c r="BX5" t="s">
        <v>4</v>
      </c>
      <c r="BZ5" t="s">
        <v>84</v>
      </c>
      <c r="CA5">
        <v>82</v>
      </c>
      <c r="CB5">
        <v>160.32</v>
      </c>
      <c r="CC5">
        <v>8</v>
      </c>
      <c r="CD5" t="s">
        <v>85</v>
      </c>
      <c r="CE5" t="s">
        <v>4</v>
      </c>
    </row>
    <row r="6" spans="1:83" x14ac:dyDescent="0.25">
      <c r="A6" t="s">
        <v>84</v>
      </c>
      <c r="B6">
        <v>5</v>
      </c>
      <c r="C6">
        <v>98.98</v>
      </c>
      <c r="D6">
        <v>2</v>
      </c>
      <c r="E6" t="s">
        <v>85</v>
      </c>
      <c r="F6" t="s">
        <v>3</v>
      </c>
      <c r="H6" t="s">
        <v>84</v>
      </c>
      <c r="I6">
        <v>11</v>
      </c>
      <c r="J6">
        <v>100.48</v>
      </c>
      <c r="K6">
        <v>4</v>
      </c>
      <c r="L6" t="s">
        <v>85</v>
      </c>
      <c r="M6" t="s">
        <v>3</v>
      </c>
      <c r="O6" t="s">
        <v>84</v>
      </c>
      <c r="P6">
        <v>17</v>
      </c>
      <c r="Q6">
        <v>91.04</v>
      </c>
      <c r="R6">
        <v>8</v>
      </c>
      <c r="S6" t="s">
        <v>85</v>
      </c>
      <c r="T6" t="s">
        <v>3</v>
      </c>
      <c r="V6" t="s">
        <v>84</v>
      </c>
      <c r="W6">
        <v>19</v>
      </c>
      <c r="X6">
        <v>104.98</v>
      </c>
      <c r="Y6">
        <v>2</v>
      </c>
      <c r="Z6" t="s">
        <v>85</v>
      </c>
      <c r="AA6" t="s">
        <v>5</v>
      </c>
      <c r="AC6" t="s">
        <v>84</v>
      </c>
      <c r="AD6">
        <v>33</v>
      </c>
      <c r="AE6">
        <v>164.1</v>
      </c>
      <c r="AF6">
        <v>4</v>
      </c>
      <c r="AG6" t="s">
        <v>85</v>
      </c>
      <c r="AH6" t="s">
        <v>5</v>
      </c>
      <c r="AJ6" t="s">
        <v>84</v>
      </c>
      <c r="AK6">
        <v>47</v>
      </c>
      <c r="AL6">
        <v>85.85</v>
      </c>
      <c r="AM6">
        <v>8</v>
      </c>
      <c r="AN6" t="s">
        <v>85</v>
      </c>
      <c r="AO6" t="s">
        <v>5</v>
      </c>
      <c r="AQ6" t="s">
        <v>84</v>
      </c>
      <c r="AR6">
        <v>42</v>
      </c>
      <c r="AS6">
        <v>116.14</v>
      </c>
      <c r="AT6">
        <v>1</v>
      </c>
      <c r="AU6" t="s">
        <v>85</v>
      </c>
      <c r="AV6" t="s">
        <v>6</v>
      </c>
      <c r="AX6" t="s">
        <v>84</v>
      </c>
      <c r="AY6">
        <v>59</v>
      </c>
      <c r="AZ6">
        <v>102</v>
      </c>
      <c r="BA6">
        <v>2</v>
      </c>
      <c r="BB6" t="s">
        <v>85</v>
      </c>
      <c r="BC6" t="s">
        <v>6</v>
      </c>
      <c r="BE6" t="s">
        <v>84</v>
      </c>
      <c r="BF6">
        <v>85</v>
      </c>
      <c r="BG6">
        <v>156.59</v>
      </c>
      <c r="BH6">
        <v>4</v>
      </c>
      <c r="BI6" t="s">
        <v>85</v>
      </c>
      <c r="BJ6" t="s">
        <v>6</v>
      </c>
      <c r="BL6" t="s">
        <v>84</v>
      </c>
      <c r="BM6">
        <v>66</v>
      </c>
      <c r="BN6">
        <v>115.06</v>
      </c>
      <c r="BO6">
        <v>2</v>
      </c>
      <c r="BP6" t="s">
        <v>85</v>
      </c>
      <c r="BQ6" t="s">
        <v>4</v>
      </c>
      <c r="BS6" t="s">
        <v>84</v>
      </c>
      <c r="BT6">
        <v>90</v>
      </c>
      <c r="BU6">
        <v>120.75</v>
      </c>
      <c r="BV6">
        <v>4</v>
      </c>
      <c r="BW6" t="s">
        <v>85</v>
      </c>
      <c r="BX6" t="s">
        <v>4</v>
      </c>
      <c r="BZ6" t="s">
        <v>84</v>
      </c>
      <c r="CA6">
        <v>83</v>
      </c>
      <c r="CB6">
        <v>156.81</v>
      </c>
      <c r="CC6">
        <v>8</v>
      </c>
      <c r="CD6" t="s">
        <v>85</v>
      </c>
      <c r="CE6" t="s">
        <v>4</v>
      </c>
    </row>
    <row r="7" spans="1:83" x14ac:dyDescent="0.25">
      <c r="A7" t="s">
        <v>84</v>
      </c>
      <c r="B7">
        <v>6</v>
      </c>
      <c r="C7">
        <v>98.98</v>
      </c>
      <c r="D7">
        <v>2</v>
      </c>
      <c r="E7" t="s">
        <v>85</v>
      </c>
      <c r="F7" t="s">
        <v>3</v>
      </c>
      <c r="H7" t="s">
        <v>84</v>
      </c>
      <c r="I7">
        <v>12</v>
      </c>
      <c r="J7">
        <v>100.48</v>
      </c>
      <c r="K7">
        <v>4</v>
      </c>
      <c r="L7" t="s">
        <v>85</v>
      </c>
      <c r="M7" t="s">
        <v>3</v>
      </c>
      <c r="O7" t="s">
        <v>84</v>
      </c>
      <c r="P7">
        <v>18</v>
      </c>
      <c r="Q7">
        <v>92.38</v>
      </c>
      <c r="R7">
        <v>8</v>
      </c>
      <c r="S7" t="s">
        <v>85</v>
      </c>
      <c r="T7" t="s">
        <v>3</v>
      </c>
      <c r="V7" t="s">
        <v>84</v>
      </c>
      <c r="W7">
        <v>20</v>
      </c>
      <c r="X7">
        <v>92.11</v>
      </c>
      <c r="Y7">
        <v>2</v>
      </c>
      <c r="Z7" t="s">
        <v>85</v>
      </c>
      <c r="AA7" t="s">
        <v>5</v>
      </c>
      <c r="AC7" t="s">
        <v>84</v>
      </c>
      <c r="AD7">
        <v>34</v>
      </c>
      <c r="AE7">
        <v>161.59</v>
      </c>
      <c r="AF7">
        <v>4</v>
      </c>
      <c r="AG7" t="s">
        <v>85</v>
      </c>
      <c r="AH7" t="s">
        <v>5</v>
      </c>
      <c r="AJ7" t="s">
        <v>84</v>
      </c>
      <c r="AK7">
        <v>48</v>
      </c>
      <c r="AL7">
        <v>95.98</v>
      </c>
      <c r="AM7">
        <v>8</v>
      </c>
      <c r="AN7" t="s">
        <v>85</v>
      </c>
      <c r="AO7" t="s">
        <v>5</v>
      </c>
      <c r="AQ7" t="s">
        <v>84</v>
      </c>
      <c r="AR7">
        <v>43</v>
      </c>
      <c r="AS7">
        <v>100.59</v>
      </c>
      <c r="AT7">
        <v>1</v>
      </c>
      <c r="AU7" t="s">
        <v>85</v>
      </c>
      <c r="AV7" t="s">
        <v>6</v>
      </c>
      <c r="AX7" t="s">
        <v>84</v>
      </c>
      <c r="AY7">
        <v>60</v>
      </c>
      <c r="AZ7">
        <v>101.22</v>
      </c>
      <c r="BA7">
        <v>2</v>
      </c>
      <c r="BB7" t="s">
        <v>85</v>
      </c>
      <c r="BC7" t="s">
        <v>6</v>
      </c>
      <c r="BE7" t="s">
        <v>84</v>
      </c>
      <c r="BF7">
        <v>89</v>
      </c>
      <c r="BG7">
        <v>122</v>
      </c>
      <c r="BH7">
        <v>4</v>
      </c>
      <c r="BI7" t="s">
        <v>85</v>
      </c>
      <c r="BJ7" t="s">
        <v>6</v>
      </c>
      <c r="BL7" t="s">
        <v>84</v>
      </c>
      <c r="BM7">
        <v>67</v>
      </c>
      <c r="BN7">
        <v>127.19</v>
      </c>
      <c r="BO7">
        <v>2</v>
      </c>
      <c r="BP7" t="s">
        <v>85</v>
      </c>
      <c r="BQ7" t="s">
        <v>4</v>
      </c>
      <c r="BS7" t="s">
        <v>84</v>
      </c>
      <c r="BT7">
        <v>91</v>
      </c>
      <c r="BU7">
        <v>107.9</v>
      </c>
      <c r="BV7">
        <v>4</v>
      </c>
      <c r="BW7" t="s">
        <v>85</v>
      </c>
      <c r="BX7" t="s">
        <v>4</v>
      </c>
      <c r="BZ7" t="s">
        <v>84</v>
      </c>
      <c r="CA7">
        <v>86</v>
      </c>
      <c r="CB7">
        <v>158.07</v>
      </c>
      <c r="CC7">
        <v>8</v>
      </c>
      <c r="CD7" t="s">
        <v>85</v>
      </c>
      <c r="CE7" t="s">
        <v>4</v>
      </c>
    </row>
    <row r="8" spans="1:83" x14ac:dyDescent="0.25">
      <c r="A8" t="s">
        <v>84</v>
      </c>
      <c r="B8">
        <v>7</v>
      </c>
      <c r="C8">
        <v>104.98</v>
      </c>
      <c r="D8">
        <v>2</v>
      </c>
      <c r="E8" t="s">
        <v>85</v>
      </c>
      <c r="F8" t="s">
        <v>3</v>
      </c>
      <c r="H8" t="s">
        <v>84</v>
      </c>
      <c r="I8">
        <v>13</v>
      </c>
      <c r="J8">
        <v>100.9</v>
      </c>
      <c r="K8">
        <v>4</v>
      </c>
      <c r="L8" t="s">
        <v>85</v>
      </c>
      <c r="M8" t="s">
        <v>3</v>
      </c>
      <c r="O8" t="s">
        <v>84</v>
      </c>
      <c r="P8">
        <v>19</v>
      </c>
      <c r="Q8">
        <v>95.48</v>
      </c>
      <c r="R8">
        <v>8</v>
      </c>
      <c r="S8" t="s">
        <v>85</v>
      </c>
      <c r="T8" t="s">
        <v>3</v>
      </c>
      <c r="V8" t="s">
        <v>84</v>
      </c>
      <c r="W8">
        <v>21</v>
      </c>
      <c r="X8">
        <v>90.64</v>
      </c>
      <c r="Y8">
        <v>2</v>
      </c>
      <c r="Z8" t="s">
        <v>85</v>
      </c>
      <c r="AA8" t="s">
        <v>5</v>
      </c>
      <c r="AC8" t="s">
        <v>84</v>
      </c>
      <c r="AD8">
        <v>35</v>
      </c>
      <c r="AE8">
        <v>141.06</v>
      </c>
      <c r="AF8">
        <v>4</v>
      </c>
      <c r="AG8" t="s">
        <v>85</v>
      </c>
      <c r="AH8" t="s">
        <v>5</v>
      </c>
      <c r="AJ8" t="s">
        <v>84</v>
      </c>
      <c r="AK8">
        <v>49</v>
      </c>
      <c r="AL8">
        <v>96.49</v>
      </c>
      <c r="AM8">
        <v>8</v>
      </c>
      <c r="AN8" t="s">
        <v>85</v>
      </c>
      <c r="AO8" t="s">
        <v>5</v>
      </c>
      <c r="AQ8" t="s">
        <v>84</v>
      </c>
      <c r="AR8">
        <v>44</v>
      </c>
      <c r="AS8">
        <v>98.79</v>
      </c>
      <c r="AT8">
        <v>1</v>
      </c>
      <c r="AU8" t="s">
        <v>85</v>
      </c>
      <c r="AV8" t="s">
        <v>6</v>
      </c>
      <c r="AX8" t="s">
        <v>84</v>
      </c>
      <c r="AY8">
        <v>61</v>
      </c>
      <c r="AZ8">
        <v>95.78</v>
      </c>
      <c r="BA8">
        <v>2</v>
      </c>
      <c r="BB8" t="s">
        <v>85</v>
      </c>
      <c r="BC8" t="s">
        <v>6</v>
      </c>
      <c r="BE8" t="s">
        <v>84</v>
      </c>
      <c r="BF8">
        <v>90</v>
      </c>
      <c r="BG8">
        <v>115.75</v>
      </c>
      <c r="BH8">
        <v>4</v>
      </c>
      <c r="BI8" t="s">
        <v>85</v>
      </c>
      <c r="BJ8" t="s">
        <v>6</v>
      </c>
      <c r="BL8" t="s">
        <v>84</v>
      </c>
      <c r="BM8">
        <v>68</v>
      </c>
      <c r="BN8">
        <v>139.5</v>
      </c>
      <c r="BO8">
        <v>2</v>
      </c>
      <c r="BP8" t="s">
        <v>85</v>
      </c>
      <c r="BQ8" t="s">
        <v>4</v>
      </c>
      <c r="BS8" t="s">
        <v>84</v>
      </c>
      <c r="BT8">
        <v>92</v>
      </c>
      <c r="BU8">
        <v>100.34</v>
      </c>
      <c r="BV8">
        <v>4</v>
      </c>
      <c r="BW8" t="s">
        <v>85</v>
      </c>
      <c r="BX8" t="s">
        <v>4</v>
      </c>
      <c r="BZ8" t="s">
        <v>84</v>
      </c>
      <c r="CA8">
        <v>87</v>
      </c>
      <c r="CB8">
        <v>156.81</v>
      </c>
      <c r="CC8">
        <v>8</v>
      </c>
      <c r="CD8" t="s">
        <v>85</v>
      </c>
      <c r="CE8" t="s">
        <v>4</v>
      </c>
    </row>
    <row r="9" spans="1:83" x14ac:dyDescent="0.25">
      <c r="A9" t="s">
        <v>84</v>
      </c>
      <c r="B9">
        <v>8</v>
      </c>
      <c r="C9">
        <v>104.98</v>
      </c>
      <c r="D9">
        <v>2</v>
      </c>
      <c r="E9" t="s">
        <v>85</v>
      </c>
      <c r="F9" t="s">
        <v>3</v>
      </c>
      <c r="H9" t="s">
        <v>84</v>
      </c>
      <c r="I9">
        <v>14</v>
      </c>
      <c r="J9">
        <v>102</v>
      </c>
      <c r="K9">
        <v>4</v>
      </c>
      <c r="L9" t="s">
        <v>85</v>
      </c>
      <c r="M9" t="s">
        <v>3</v>
      </c>
      <c r="O9" t="s">
        <v>84</v>
      </c>
      <c r="P9">
        <v>20</v>
      </c>
      <c r="Q9">
        <v>82.61</v>
      </c>
      <c r="R9">
        <v>8</v>
      </c>
      <c r="S9" t="s">
        <v>85</v>
      </c>
      <c r="T9" t="s">
        <v>3</v>
      </c>
      <c r="V9" t="s">
        <v>84</v>
      </c>
      <c r="W9">
        <v>22</v>
      </c>
      <c r="X9">
        <v>94.29</v>
      </c>
      <c r="Y9">
        <v>2</v>
      </c>
      <c r="Z9" t="s">
        <v>85</v>
      </c>
      <c r="AA9" t="s">
        <v>5</v>
      </c>
      <c r="AC9" t="s">
        <v>84</v>
      </c>
      <c r="AD9">
        <v>36</v>
      </c>
      <c r="AE9">
        <v>115.69</v>
      </c>
      <c r="AF9">
        <v>4</v>
      </c>
      <c r="AG9" t="s">
        <v>85</v>
      </c>
      <c r="AH9" t="s">
        <v>5</v>
      </c>
      <c r="AJ9" t="s">
        <v>84</v>
      </c>
      <c r="AK9">
        <v>50</v>
      </c>
      <c r="AL9">
        <v>94.97</v>
      </c>
      <c r="AM9">
        <v>8</v>
      </c>
      <c r="AN9" t="s">
        <v>85</v>
      </c>
      <c r="AO9" t="s">
        <v>5</v>
      </c>
      <c r="AQ9" t="s">
        <v>84</v>
      </c>
      <c r="AR9">
        <v>45</v>
      </c>
      <c r="AS9">
        <v>102.61</v>
      </c>
      <c r="AT9">
        <v>1</v>
      </c>
      <c r="AU9" t="s">
        <v>85</v>
      </c>
      <c r="AV9" t="s">
        <v>6</v>
      </c>
      <c r="AX9" t="s">
        <v>84</v>
      </c>
      <c r="AY9">
        <v>62</v>
      </c>
      <c r="AZ9">
        <v>95.81</v>
      </c>
      <c r="BA9">
        <v>2</v>
      </c>
      <c r="BB9" t="s">
        <v>85</v>
      </c>
      <c r="BC9" t="s">
        <v>6</v>
      </c>
      <c r="BE9" t="s">
        <v>84</v>
      </c>
      <c r="BF9">
        <v>91</v>
      </c>
      <c r="BG9">
        <v>111.65</v>
      </c>
      <c r="BH9">
        <v>4</v>
      </c>
      <c r="BI9" t="s">
        <v>85</v>
      </c>
      <c r="BJ9" t="s">
        <v>6</v>
      </c>
      <c r="BL9" t="s">
        <v>84</v>
      </c>
      <c r="BM9">
        <v>69</v>
      </c>
      <c r="BN9">
        <v>112.78</v>
      </c>
      <c r="BO9">
        <v>2</v>
      </c>
      <c r="BP9" t="s">
        <v>85</v>
      </c>
      <c r="BQ9" t="s">
        <v>4</v>
      </c>
      <c r="BS9" t="s">
        <v>84</v>
      </c>
      <c r="BT9">
        <v>93</v>
      </c>
      <c r="BU9">
        <v>116.28</v>
      </c>
      <c r="BV9">
        <v>4</v>
      </c>
      <c r="BW9" t="s">
        <v>85</v>
      </c>
      <c r="BX9" t="s">
        <v>4</v>
      </c>
      <c r="BZ9" t="s">
        <v>84</v>
      </c>
      <c r="CA9">
        <v>75</v>
      </c>
      <c r="CB9">
        <v>153.82</v>
      </c>
      <c r="CC9">
        <v>6</v>
      </c>
      <c r="CD9" t="s">
        <v>85</v>
      </c>
      <c r="CE9" t="s">
        <v>4</v>
      </c>
    </row>
    <row r="10" spans="1:83" x14ac:dyDescent="0.25">
      <c r="A10" t="s">
        <v>84</v>
      </c>
      <c r="B10">
        <v>9</v>
      </c>
      <c r="C10">
        <v>104.98</v>
      </c>
      <c r="D10">
        <v>2</v>
      </c>
      <c r="E10" t="s">
        <v>85</v>
      </c>
      <c r="F10" t="s">
        <v>3</v>
      </c>
      <c r="H10" t="s">
        <v>84</v>
      </c>
      <c r="I10">
        <v>15</v>
      </c>
      <c r="J10">
        <v>102</v>
      </c>
      <c r="K10">
        <v>4</v>
      </c>
      <c r="L10" t="s">
        <v>85</v>
      </c>
      <c r="M10" t="s">
        <v>3</v>
      </c>
      <c r="O10" t="s">
        <v>84</v>
      </c>
      <c r="P10">
        <v>21</v>
      </c>
      <c r="Q10">
        <v>81.14</v>
      </c>
      <c r="R10">
        <v>8</v>
      </c>
      <c r="S10" t="s">
        <v>85</v>
      </c>
      <c r="T10" t="s">
        <v>3</v>
      </c>
      <c r="V10" t="s">
        <v>84</v>
      </c>
      <c r="W10">
        <v>23</v>
      </c>
      <c r="X10">
        <v>98.5</v>
      </c>
      <c r="Y10">
        <v>2</v>
      </c>
      <c r="Z10" t="s">
        <v>85</v>
      </c>
      <c r="AA10" t="s">
        <v>5</v>
      </c>
      <c r="AC10" t="s">
        <v>84</v>
      </c>
      <c r="AD10">
        <v>37</v>
      </c>
      <c r="AE10">
        <v>146</v>
      </c>
      <c r="AF10">
        <v>4</v>
      </c>
      <c r="AG10" t="s">
        <v>85</v>
      </c>
      <c r="AH10" t="s">
        <v>5</v>
      </c>
      <c r="AJ10" t="s">
        <v>84</v>
      </c>
      <c r="AK10">
        <v>51</v>
      </c>
      <c r="AL10">
        <v>85.97</v>
      </c>
      <c r="AM10">
        <v>8</v>
      </c>
      <c r="AN10" t="s">
        <v>85</v>
      </c>
      <c r="AO10" t="s">
        <v>5</v>
      </c>
      <c r="AQ10" t="s">
        <v>84</v>
      </c>
      <c r="AR10">
        <v>46</v>
      </c>
      <c r="AS10">
        <v>98.98</v>
      </c>
      <c r="AT10">
        <v>1</v>
      </c>
      <c r="AU10" t="s">
        <v>85</v>
      </c>
      <c r="AV10" t="s">
        <v>6</v>
      </c>
      <c r="AX10" t="s">
        <v>84</v>
      </c>
      <c r="AY10">
        <v>63</v>
      </c>
      <c r="AZ10">
        <v>100.81</v>
      </c>
      <c r="BA10">
        <v>2</v>
      </c>
      <c r="BB10" t="s">
        <v>85</v>
      </c>
      <c r="BC10" t="s">
        <v>6</v>
      </c>
      <c r="BE10" t="s">
        <v>84</v>
      </c>
      <c r="BF10">
        <v>92</v>
      </c>
      <c r="BG10">
        <v>111.65</v>
      </c>
      <c r="BH10">
        <v>4</v>
      </c>
      <c r="BI10" t="s">
        <v>85</v>
      </c>
      <c r="BJ10" t="s">
        <v>6</v>
      </c>
      <c r="BL10" t="s">
        <v>84</v>
      </c>
      <c r="BM10">
        <v>70</v>
      </c>
      <c r="BN10">
        <v>125.21</v>
      </c>
      <c r="BO10">
        <v>2</v>
      </c>
      <c r="BP10" t="s">
        <v>85</v>
      </c>
      <c r="BQ10" t="s">
        <v>4</v>
      </c>
      <c r="BS10" t="s">
        <v>84</v>
      </c>
      <c r="BT10">
        <v>94</v>
      </c>
      <c r="BU10">
        <v>110.04</v>
      </c>
      <c r="BV10">
        <v>4</v>
      </c>
      <c r="BW10" t="s">
        <v>85</v>
      </c>
      <c r="BX10" t="s">
        <v>4</v>
      </c>
      <c r="BZ10" t="s">
        <v>84</v>
      </c>
      <c r="CA10">
        <v>77</v>
      </c>
      <c r="CB10">
        <v>153.82</v>
      </c>
      <c r="CC10">
        <v>6</v>
      </c>
      <c r="CD10" t="s">
        <v>85</v>
      </c>
      <c r="CE10" t="s">
        <v>4</v>
      </c>
    </row>
    <row r="11" spans="1:83" x14ac:dyDescent="0.25">
      <c r="A11" t="s">
        <v>84</v>
      </c>
      <c r="B11">
        <v>10</v>
      </c>
      <c r="C11">
        <v>104.98</v>
      </c>
      <c r="D11">
        <v>2</v>
      </c>
      <c r="E11" t="s">
        <v>85</v>
      </c>
      <c r="F11" t="s">
        <v>3</v>
      </c>
      <c r="H11" t="s">
        <v>84</v>
      </c>
      <c r="I11">
        <v>16</v>
      </c>
      <c r="J11">
        <v>102.43</v>
      </c>
      <c r="K11">
        <v>4</v>
      </c>
      <c r="L11" t="s">
        <v>85</v>
      </c>
      <c r="M11" t="s">
        <v>3</v>
      </c>
      <c r="O11" t="s">
        <v>84</v>
      </c>
      <c r="P11">
        <v>22</v>
      </c>
      <c r="Q11">
        <v>84.79</v>
      </c>
      <c r="R11">
        <v>8</v>
      </c>
      <c r="S11" t="s">
        <v>85</v>
      </c>
      <c r="T11" t="s">
        <v>3</v>
      </c>
      <c r="V11" t="s">
        <v>84</v>
      </c>
      <c r="W11">
        <v>24</v>
      </c>
      <c r="X11">
        <v>110.11</v>
      </c>
      <c r="Y11">
        <v>2</v>
      </c>
      <c r="Z11" t="s">
        <v>85</v>
      </c>
      <c r="AA11" t="s">
        <v>5</v>
      </c>
      <c r="AC11" t="s">
        <v>84</v>
      </c>
      <c r="AD11">
        <v>38</v>
      </c>
      <c r="AE11">
        <v>122</v>
      </c>
      <c r="AF11">
        <v>4</v>
      </c>
      <c r="AG11" t="s">
        <v>85</v>
      </c>
      <c r="AH11" t="s">
        <v>5</v>
      </c>
      <c r="AJ11" t="s">
        <v>84</v>
      </c>
      <c r="AK11">
        <v>52</v>
      </c>
      <c r="AL11">
        <v>85.97</v>
      </c>
      <c r="AM11">
        <v>8</v>
      </c>
      <c r="AN11" t="s">
        <v>85</v>
      </c>
      <c r="AO11" t="s">
        <v>5</v>
      </c>
      <c r="AQ11" t="s">
        <v>84</v>
      </c>
      <c r="AR11">
        <v>47</v>
      </c>
      <c r="AS11">
        <v>95.35</v>
      </c>
      <c r="AT11">
        <v>1</v>
      </c>
      <c r="AU11" t="s">
        <v>85</v>
      </c>
      <c r="AV11" t="s">
        <v>6</v>
      </c>
      <c r="AX11" t="s">
        <v>84</v>
      </c>
      <c r="AY11">
        <v>64</v>
      </c>
      <c r="AZ11">
        <v>96.81</v>
      </c>
      <c r="BA11">
        <v>2</v>
      </c>
      <c r="BB11" t="s">
        <v>85</v>
      </c>
      <c r="BC11" t="s">
        <v>6</v>
      </c>
      <c r="BE11" t="s">
        <v>84</v>
      </c>
      <c r="BF11">
        <v>93</v>
      </c>
      <c r="BG11">
        <v>111.28</v>
      </c>
      <c r="BH11">
        <v>4</v>
      </c>
      <c r="BI11" t="s">
        <v>85</v>
      </c>
      <c r="BJ11" t="s">
        <v>6</v>
      </c>
      <c r="BL11" t="s">
        <v>84</v>
      </c>
      <c r="BM11">
        <v>71</v>
      </c>
      <c r="BN11">
        <v>141.27000000000001</v>
      </c>
      <c r="BO11">
        <v>2</v>
      </c>
      <c r="BP11" t="s">
        <v>85</v>
      </c>
      <c r="BQ11" t="s">
        <v>4</v>
      </c>
      <c r="BS11" t="s">
        <v>84</v>
      </c>
      <c r="BT11">
        <v>95</v>
      </c>
      <c r="BU11">
        <v>100.4</v>
      </c>
      <c r="BV11">
        <v>4</v>
      </c>
      <c r="BW11" t="s">
        <v>85</v>
      </c>
      <c r="BX11" t="s">
        <v>4</v>
      </c>
      <c r="BZ11" t="s">
        <v>84</v>
      </c>
      <c r="CA11">
        <v>78</v>
      </c>
      <c r="CB11">
        <v>156.07</v>
      </c>
      <c r="CC11">
        <v>6</v>
      </c>
      <c r="CD11" t="s">
        <v>85</v>
      </c>
      <c r="CE11" t="s">
        <v>4</v>
      </c>
    </row>
    <row r="12" spans="1:83" x14ac:dyDescent="0.25">
      <c r="A12" t="s">
        <v>84</v>
      </c>
      <c r="B12">
        <v>11</v>
      </c>
      <c r="C12">
        <v>104.98</v>
      </c>
      <c r="D12">
        <v>2</v>
      </c>
      <c r="E12" t="s">
        <v>85</v>
      </c>
      <c r="F12" t="s">
        <v>3</v>
      </c>
      <c r="H12" t="s">
        <v>84</v>
      </c>
      <c r="I12">
        <v>17</v>
      </c>
      <c r="J12">
        <v>96.04</v>
      </c>
      <c r="K12">
        <v>4</v>
      </c>
      <c r="L12" t="s">
        <v>85</v>
      </c>
      <c r="M12" t="s">
        <v>3</v>
      </c>
      <c r="O12" t="s">
        <v>84</v>
      </c>
      <c r="P12">
        <v>23</v>
      </c>
      <c r="Q12">
        <v>89</v>
      </c>
      <c r="R12">
        <v>8</v>
      </c>
      <c r="S12" t="s">
        <v>85</v>
      </c>
      <c r="T12" t="s">
        <v>3</v>
      </c>
      <c r="V12" t="s">
        <v>84</v>
      </c>
      <c r="W12">
        <v>25</v>
      </c>
      <c r="X12">
        <v>96.08</v>
      </c>
      <c r="Y12">
        <v>2</v>
      </c>
      <c r="Z12" t="s">
        <v>85</v>
      </c>
      <c r="AA12" t="s">
        <v>5</v>
      </c>
      <c r="AC12" t="s">
        <v>84</v>
      </c>
      <c r="AD12">
        <v>39</v>
      </c>
      <c r="AE12">
        <v>114.43</v>
      </c>
      <c r="AF12">
        <v>4</v>
      </c>
      <c r="AG12" t="s">
        <v>85</v>
      </c>
      <c r="AH12" t="s">
        <v>5</v>
      </c>
      <c r="AJ12" t="s">
        <v>84</v>
      </c>
      <c r="AK12">
        <v>53</v>
      </c>
      <c r="AL12">
        <v>86.45</v>
      </c>
      <c r="AM12">
        <v>8</v>
      </c>
      <c r="AN12" t="s">
        <v>85</v>
      </c>
      <c r="AO12" t="s">
        <v>5</v>
      </c>
      <c r="AQ12" t="s">
        <v>84</v>
      </c>
      <c r="AR12">
        <v>48</v>
      </c>
      <c r="AS12">
        <v>105.48</v>
      </c>
      <c r="AT12">
        <v>1</v>
      </c>
      <c r="AU12" t="s">
        <v>85</v>
      </c>
      <c r="AV12" t="s">
        <v>6</v>
      </c>
      <c r="AX12" t="s">
        <v>84</v>
      </c>
      <c r="AY12">
        <v>65</v>
      </c>
      <c r="AZ12">
        <v>97</v>
      </c>
      <c r="BA12">
        <v>2</v>
      </c>
      <c r="BB12" t="s">
        <v>85</v>
      </c>
      <c r="BC12" t="s">
        <v>6</v>
      </c>
      <c r="BE12" t="s">
        <v>84</v>
      </c>
      <c r="BF12">
        <v>94</v>
      </c>
      <c r="BG12">
        <v>105.04</v>
      </c>
      <c r="BH12">
        <v>4</v>
      </c>
      <c r="BI12" t="s">
        <v>85</v>
      </c>
      <c r="BJ12" t="s">
        <v>6</v>
      </c>
      <c r="BL12" t="s">
        <v>84</v>
      </c>
      <c r="BM12">
        <v>72</v>
      </c>
      <c r="BN12">
        <v>161.5</v>
      </c>
      <c r="BO12">
        <v>2</v>
      </c>
      <c r="BP12" t="s">
        <v>85</v>
      </c>
      <c r="BQ12" t="s">
        <v>4</v>
      </c>
      <c r="BS12" t="s">
        <v>84</v>
      </c>
      <c r="BT12">
        <v>96</v>
      </c>
      <c r="BU12">
        <v>99.88</v>
      </c>
      <c r="BV12">
        <v>4</v>
      </c>
      <c r="BW12" t="s">
        <v>85</v>
      </c>
      <c r="BX12" t="s">
        <v>4</v>
      </c>
      <c r="BZ12" t="s">
        <v>84</v>
      </c>
      <c r="CA12">
        <v>79</v>
      </c>
      <c r="CB12">
        <v>203</v>
      </c>
      <c r="CC12">
        <v>6</v>
      </c>
      <c r="CD12" t="s">
        <v>85</v>
      </c>
      <c r="CE12" t="s">
        <v>4</v>
      </c>
    </row>
    <row r="13" spans="1:83" x14ac:dyDescent="0.25">
      <c r="A13" t="s">
        <v>84</v>
      </c>
      <c r="B13">
        <v>12</v>
      </c>
      <c r="C13">
        <v>104.98</v>
      </c>
      <c r="D13">
        <v>2</v>
      </c>
      <c r="E13" t="s">
        <v>85</v>
      </c>
      <c r="F13" t="s">
        <v>3</v>
      </c>
      <c r="H13" t="s">
        <v>84</v>
      </c>
      <c r="I13">
        <v>18</v>
      </c>
      <c r="J13">
        <v>97.38</v>
      </c>
      <c r="K13">
        <v>4</v>
      </c>
      <c r="L13" t="s">
        <v>85</v>
      </c>
      <c r="M13" t="s">
        <v>3</v>
      </c>
      <c r="O13" t="s">
        <v>84</v>
      </c>
      <c r="P13">
        <v>24</v>
      </c>
      <c r="Q13">
        <v>100.61</v>
      </c>
      <c r="R13">
        <v>8</v>
      </c>
      <c r="S13" t="s">
        <v>85</v>
      </c>
      <c r="T13" t="s">
        <v>3</v>
      </c>
      <c r="V13" t="s">
        <v>84</v>
      </c>
      <c r="W13">
        <v>26</v>
      </c>
      <c r="X13">
        <v>109.17</v>
      </c>
      <c r="Y13">
        <v>2</v>
      </c>
      <c r="Z13" t="s">
        <v>85</v>
      </c>
      <c r="AA13" t="s">
        <v>5</v>
      </c>
      <c r="AC13" t="s">
        <v>84</v>
      </c>
      <c r="AD13">
        <v>40</v>
      </c>
      <c r="AE13">
        <v>97.52</v>
      </c>
      <c r="AF13">
        <v>4</v>
      </c>
      <c r="AG13" t="s">
        <v>85</v>
      </c>
      <c r="AH13" t="s">
        <v>5</v>
      </c>
      <c r="AJ13" t="s">
        <v>84</v>
      </c>
      <c r="AK13">
        <v>54</v>
      </c>
      <c r="AL13">
        <v>88.08</v>
      </c>
      <c r="AM13">
        <v>8</v>
      </c>
      <c r="AN13" t="s">
        <v>85</v>
      </c>
      <c r="AO13" t="s">
        <v>5</v>
      </c>
      <c r="AQ13" t="s">
        <v>84</v>
      </c>
      <c r="AR13">
        <v>49</v>
      </c>
      <c r="AS13">
        <v>105.99</v>
      </c>
      <c r="AT13">
        <v>1</v>
      </c>
      <c r="AU13" t="s">
        <v>85</v>
      </c>
      <c r="AV13" t="s">
        <v>6</v>
      </c>
      <c r="AX13" t="s">
        <v>84</v>
      </c>
      <c r="AY13">
        <v>66</v>
      </c>
      <c r="AZ13">
        <v>110.56</v>
      </c>
      <c r="BA13">
        <v>2</v>
      </c>
      <c r="BB13" t="s">
        <v>85</v>
      </c>
      <c r="BC13" t="s">
        <v>6</v>
      </c>
      <c r="BE13" t="s">
        <v>84</v>
      </c>
      <c r="BF13">
        <v>95</v>
      </c>
      <c r="BG13">
        <v>95.4</v>
      </c>
      <c r="BH13">
        <v>4</v>
      </c>
      <c r="BI13" t="s">
        <v>85</v>
      </c>
      <c r="BJ13" t="s">
        <v>6</v>
      </c>
      <c r="BL13" t="s">
        <v>84</v>
      </c>
      <c r="BM13">
        <v>73</v>
      </c>
      <c r="BN13">
        <v>134.36000000000001</v>
      </c>
      <c r="BO13">
        <v>2</v>
      </c>
      <c r="BP13" t="s">
        <v>85</v>
      </c>
      <c r="BQ13" t="s">
        <v>4</v>
      </c>
      <c r="BS13" t="s">
        <v>84</v>
      </c>
      <c r="BT13">
        <v>1</v>
      </c>
      <c r="BU13">
        <v>106.59</v>
      </c>
      <c r="BV13">
        <v>8</v>
      </c>
      <c r="BW13" t="s">
        <v>85</v>
      </c>
      <c r="BX13" t="s">
        <v>4</v>
      </c>
      <c r="BZ13" t="s">
        <v>84</v>
      </c>
      <c r="CA13">
        <v>80</v>
      </c>
      <c r="CB13">
        <v>203</v>
      </c>
      <c r="CC13">
        <v>6</v>
      </c>
      <c r="CD13" t="s">
        <v>85</v>
      </c>
      <c r="CE13" t="s">
        <v>4</v>
      </c>
    </row>
    <row r="14" spans="1:83" x14ac:dyDescent="0.25">
      <c r="A14" t="s">
        <v>84</v>
      </c>
      <c r="B14">
        <v>13</v>
      </c>
      <c r="C14">
        <v>105.4</v>
      </c>
      <c r="D14">
        <v>2</v>
      </c>
      <c r="E14" t="s">
        <v>85</v>
      </c>
      <c r="F14" t="s">
        <v>3</v>
      </c>
      <c r="H14" t="s">
        <v>84</v>
      </c>
      <c r="I14">
        <v>19</v>
      </c>
      <c r="J14">
        <v>100.48</v>
      </c>
      <c r="K14">
        <v>4</v>
      </c>
      <c r="L14" t="s">
        <v>85</v>
      </c>
      <c r="M14" t="s">
        <v>3</v>
      </c>
      <c r="O14" t="s">
        <v>84</v>
      </c>
      <c r="P14">
        <v>25</v>
      </c>
      <c r="Q14">
        <v>86.58</v>
      </c>
      <c r="R14">
        <v>8</v>
      </c>
      <c r="S14" t="s">
        <v>85</v>
      </c>
      <c r="T14" t="s">
        <v>3</v>
      </c>
      <c r="V14" t="s">
        <v>84</v>
      </c>
      <c r="W14">
        <v>27</v>
      </c>
      <c r="X14">
        <v>124.96</v>
      </c>
      <c r="Y14">
        <v>2</v>
      </c>
      <c r="Z14" t="s">
        <v>85</v>
      </c>
      <c r="AA14" t="s">
        <v>5</v>
      </c>
      <c r="AC14" t="s">
        <v>84</v>
      </c>
      <c r="AD14">
        <v>41</v>
      </c>
      <c r="AE14">
        <v>122</v>
      </c>
      <c r="AF14">
        <v>4</v>
      </c>
      <c r="AG14" t="s">
        <v>85</v>
      </c>
      <c r="AH14" t="s">
        <v>5</v>
      </c>
      <c r="AJ14" t="s">
        <v>84</v>
      </c>
      <c r="AK14">
        <v>55</v>
      </c>
      <c r="AL14">
        <v>89.57</v>
      </c>
      <c r="AM14">
        <v>8</v>
      </c>
      <c r="AN14" t="s">
        <v>85</v>
      </c>
      <c r="AO14" t="s">
        <v>5</v>
      </c>
      <c r="AQ14" t="s">
        <v>84</v>
      </c>
      <c r="AR14">
        <v>50</v>
      </c>
      <c r="AS14">
        <v>104.47</v>
      </c>
      <c r="AT14">
        <v>1</v>
      </c>
      <c r="AU14" t="s">
        <v>85</v>
      </c>
      <c r="AV14" t="s">
        <v>6</v>
      </c>
      <c r="AX14" t="s">
        <v>84</v>
      </c>
      <c r="AY14">
        <v>67</v>
      </c>
      <c r="AZ14">
        <v>121</v>
      </c>
      <c r="BA14">
        <v>2</v>
      </c>
      <c r="BB14" t="s">
        <v>85</v>
      </c>
      <c r="BC14" t="s">
        <v>6</v>
      </c>
      <c r="BE14" t="s">
        <v>84</v>
      </c>
      <c r="BF14">
        <v>96</v>
      </c>
      <c r="BG14">
        <v>94.88</v>
      </c>
      <c r="BH14">
        <v>4</v>
      </c>
      <c r="BI14" t="s">
        <v>85</v>
      </c>
      <c r="BJ14" t="s">
        <v>6</v>
      </c>
      <c r="BL14" t="s">
        <v>84</v>
      </c>
      <c r="BM14">
        <v>74</v>
      </c>
      <c r="BN14">
        <v>133.07</v>
      </c>
      <c r="BO14">
        <v>2</v>
      </c>
      <c r="BP14" t="s">
        <v>85</v>
      </c>
      <c r="BQ14" t="s">
        <v>4</v>
      </c>
      <c r="BS14" t="s">
        <v>84</v>
      </c>
      <c r="BT14">
        <v>2</v>
      </c>
      <c r="BU14">
        <v>95.43</v>
      </c>
      <c r="BV14">
        <v>8</v>
      </c>
      <c r="BW14" t="s">
        <v>85</v>
      </c>
      <c r="BX14" t="s">
        <v>4</v>
      </c>
      <c r="BZ14" t="s">
        <v>84</v>
      </c>
      <c r="CA14">
        <v>81</v>
      </c>
      <c r="CB14">
        <v>203</v>
      </c>
      <c r="CC14">
        <v>6</v>
      </c>
      <c r="CD14" t="s">
        <v>85</v>
      </c>
      <c r="CE14" t="s">
        <v>4</v>
      </c>
    </row>
    <row r="15" spans="1:83" x14ac:dyDescent="0.25">
      <c r="A15" t="s">
        <v>84</v>
      </c>
      <c r="B15">
        <v>14</v>
      </c>
      <c r="C15">
        <v>106.5</v>
      </c>
      <c r="D15">
        <v>2</v>
      </c>
      <c r="E15" t="s">
        <v>85</v>
      </c>
      <c r="F15" t="s">
        <v>3</v>
      </c>
      <c r="H15" t="s">
        <v>84</v>
      </c>
      <c r="I15">
        <v>20</v>
      </c>
      <c r="J15">
        <v>87.61</v>
      </c>
      <c r="K15">
        <v>4</v>
      </c>
      <c r="L15" t="s">
        <v>85</v>
      </c>
      <c r="M15" t="s">
        <v>3</v>
      </c>
      <c r="O15" t="s">
        <v>84</v>
      </c>
      <c r="P15">
        <v>26</v>
      </c>
      <c r="Q15">
        <v>99.67</v>
      </c>
      <c r="R15">
        <v>8</v>
      </c>
      <c r="S15" t="s">
        <v>85</v>
      </c>
      <c r="T15" t="s">
        <v>3</v>
      </c>
      <c r="V15" t="s">
        <v>84</v>
      </c>
      <c r="W15">
        <v>28</v>
      </c>
      <c r="X15">
        <v>138.28</v>
      </c>
      <c r="Y15">
        <v>2</v>
      </c>
      <c r="Z15" t="s">
        <v>85</v>
      </c>
      <c r="AA15" t="s">
        <v>5</v>
      </c>
      <c r="AC15" t="s">
        <v>84</v>
      </c>
      <c r="AD15">
        <v>42</v>
      </c>
      <c r="AE15">
        <v>111.64</v>
      </c>
      <c r="AF15">
        <v>4</v>
      </c>
      <c r="AG15" t="s">
        <v>85</v>
      </c>
      <c r="AH15" t="s">
        <v>5</v>
      </c>
      <c r="AJ15" t="s">
        <v>84</v>
      </c>
      <c r="AK15">
        <v>56</v>
      </c>
      <c r="AL15">
        <v>92</v>
      </c>
      <c r="AM15">
        <v>8</v>
      </c>
      <c r="AN15" t="s">
        <v>85</v>
      </c>
      <c r="AO15" t="s">
        <v>5</v>
      </c>
      <c r="AQ15" t="s">
        <v>84</v>
      </c>
      <c r="AR15">
        <v>51</v>
      </c>
      <c r="AS15">
        <v>95.47</v>
      </c>
      <c r="AT15">
        <v>1</v>
      </c>
      <c r="AU15" t="s">
        <v>85</v>
      </c>
      <c r="AV15" t="s">
        <v>6</v>
      </c>
      <c r="AX15" t="s">
        <v>84</v>
      </c>
      <c r="AY15">
        <v>68</v>
      </c>
      <c r="AZ15">
        <v>130.54</v>
      </c>
      <c r="BA15">
        <v>2</v>
      </c>
      <c r="BB15" t="s">
        <v>85</v>
      </c>
      <c r="BC15" t="s">
        <v>6</v>
      </c>
      <c r="BE15" t="s">
        <v>84</v>
      </c>
      <c r="BF15">
        <v>34</v>
      </c>
      <c r="BG15">
        <v>156.81</v>
      </c>
      <c r="BH15">
        <v>4</v>
      </c>
      <c r="BI15" t="s">
        <v>85</v>
      </c>
      <c r="BJ15" t="s">
        <v>6</v>
      </c>
      <c r="BL15" t="s">
        <v>84</v>
      </c>
      <c r="BM15">
        <v>76</v>
      </c>
      <c r="BN15">
        <v>174.57</v>
      </c>
      <c r="BO15">
        <v>2</v>
      </c>
      <c r="BP15" t="s">
        <v>85</v>
      </c>
      <c r="BQ15" t="s">
        <v>4</v>
      </c>
      <c r="BS15" t="s">
        <v>84</v>
      </c>
      <c r="BT15">
        <v>3</v>
      </c>
      <c r="BU15">
        <v>89.48</v>
      </c>
      <c r="BV15">
        <v>8</v>
      </c>
      <c r="BW15" t="s">
        <v>85</v>
      </c>
      <c r="BX15" t="s">
        <v>4</v>
      </c>
      <c r="BZ15" t="s">
        <v>84</v>
      </c>
      <c r="CA15">
        <v>82</v>
      </c>
      <c r="CB15">
        <v>156.07</v>
      </c>
      <c r="CC15">
        <v>6</v>
      </c>
      <c r="CD15" t="s">
        <v>85</v>
      </c>
      <c r="CE15" t="s">
        <v>4</v>
      </c>
    </row>
    <row r="16" spans="1:83" x14ac:dyDescent="0.25">
      <c r="A16" t="s">
        <v>84</v>
      </c>
      <c r="B16">
        <v>15</v>
      </c>
      <c r="C16">
        <v>106.5</v>
      </c>
      <c r="D16">
        <v>2</v>
      </c>
      <c r="E16" t="s">
        <v>85</v>
      </c>
      <c r="F16" t="s">
        <v>3</v>
      </c>
      <c r="H16" t="s">
        <v>84</v>
      </c>
      <c r="I16">
        <v>21</v>
      </c>
      <c r="J16">
        <v>86.14</v>
      </c>
      <c r="K16">
        <v>4</v>
      </c>
      <c r="L16" t="s">
        <v>85</v>
      </c>
      <c r="M16" t="s">
        <v>3</v>
      </c>
      <c r="O16" t="s">
        <v>84</v>
      </c>
      <c r="P16">
        <v>27</v>
      </c>
      <c r="Q16">
        <v>115.46</v>
      </c>
      <c r="R16">
        <v>8</v>
      </c>
      <c r="S16" t="s">
        <v>85</v>
      </c>
      <c r="T16" t="s">
        <v>3</v>
      </c>
      <c r="V16" t="s">
        <v>84</v>
      </c>
      <c r="W16">
        <v>29</v>
      </c>
      <c r="X16">
        <v>114.19</v>
      </c>
      <c r="Y16">
        <v>2</v>
      </c>
      <c r="Z16" t="s">
        <v>85</v>
      </c>
      <c r="AA16" t="s">
        <v>5</v>
      </c>
      <c r="AC16" t="s">
        <v>84</v>
      </c>
      <c r="AD16">
        <v>43</v>
      </c>
      <c r="AE16">
        <v>96.09</v>
      </c>
      <c r="AF16">
        <v>4</v>
      </c>
      <c r="AG16" t="s">
        <v>85</v>
      </c>
      <c r="AH16" t="s">
        <v>5</v>
      </c>
      <c r="AJ16" t="s">
        <v>84</v>
      </c>
      <c r="AK16">
        <v>57</v>
      </c>
      <c r="AL16">
        <v>92.7</v>
      </c>
      <c r="AM16">
        <v>8</v>
      </c>
      <c r="AN16" t="s">
        <v>85</v>
      </c>
      <c r="AO16" t="s">
        <v>5</v>
      </c>
      <c r="AQ16" t="s">
        <v>84</v>
      </c>
      <c r="AR16">
        <v>52</v>
      </c>
      <c r="AS16">
        <v>95.47</v>
      </c>
      <c r="AT16">
        <v>1</v>
      </c>
      <c r="AU16" t="s">
        <v>85</v>
      </c>
      <c r="AV16" t="s">
        <v>6</v>
      </c>
      <c r="AX16" t="s">
        <v>84</v>
      </c>
      <c r="AY16">
        <v>69</v>
      </c>
      <c r="AZ16">
        <v>108.28</v>
      </c>
      <c r="BA16">
        <v>2</v>
      </c>
      <c r="BB16" t="s">
        <v>85</v>
      </c>
      <c r="BC16" t="s">
        <v>6</v>
      </c>
      <c r="BE16" t="s">
        <v>84</v>
      </c>
      <c r="BF16">
        <v>75</v>
      </c>
      <c r="BG16">
        <v>158.07</v>
      </c>
      <c r="BH16">
        <v>4</v>
      </c>
      <c r="BI16" t="s">
        <v>85</v>
      </c>
      <c r="BJ16" t="s">
        <v>6</v>
      </c>
      <c r="BL16" t="s">
        <v>84</v>
      </c>
      <c r="BM16">
        <v>84</v>
      </c>
      <c r="BN16">
        <v>151.06</v>
      </c>
      <c r="BO16">
        <v>2</v>
      </c>
      <c r="BP16" t="s">
        <v>85</v>
      </c>
      <c r="BQ16" t="s">
        <v>4</v>
      </c>
      <c r="BS16" t="s">
        <v>84</v>
      </c>
      <c r="BT16">
        <v>4</v>
      </c>
      <c r="BU16">
        <v>86.37</v>
      </c>
      <c r="BV16">
        <v>8</v>
      </c>
      <c r="BW16" t="s">
        <v>85</v>
      </c>
      <c r="BX16" t="s">
        <v>4</v>
      </c>
      <c r="BZ16" t="s">
        <v>84</v>
      </c>
      <c r="CA16">
        <v>83</v>
      </c>
      <c r="CB16">
        <v>152.56</v>
      </c>
      <c r="CC16">
        <v>6</v>
      </c>
      <c r="CD16" t="s">
        <v>85</v>
      </c>
      <c r="CE16" t="s">
        <v>4</v>
      </c>
    </row>
    <row r="17" spans="1:83" x14ac:dyDescent="0.25">
      <c r="A17" t="s">
        <v>84</v>
      </c>
      <c r="B17">
        <v>16</v>
      </c>
      <c r="C17">
        <v>106.93</v>
      </c>
      <c r="D17">
        <v>2</v>
      </c>
      <c r="E17" t="s">
        <v>85</v>
      </c>
      <c r="F17" t="s">
        <v>3</v>
      </c>
      <c r="H17" t="s">
        <v>84</v>
      </c>
      <c r="I17">
        <v>22</v>
      </c>
      <c r="J17">
        <v>89.79</v>
      </c>
      <c r="K17">
        <v>4</v>
      </c>
      <c r="L17" t="s">
        <v>85</v>
      </c>
      <c r="M17" t="s">
        <v>3</v>
      </c>
      <c r="O17" t="s">
        <v>84</v>
      </c>
      <c r="P17">
        <v>28</v>
      </c>
      <c r="Q17">
        <v>128.78</v>
      </c>
      <c r="R17">
        <v>8</v>
      </c>
      <c r="S17" t="s">
        <v>85</v>
      </c>
      <c r="T17" t="s">
        <v>3</v>
      </c>
      <c r="V17" t="s">
        <v>84</v>
      </c>
      <c r="W17">
        <v>30</v>
      </c>
      <c r="X17">
        <v>139.47</v>
      </c>
      <c r="Y17">
        <v>2</v>
      </c>
      <c r="Z17" t="s">
        <v>85</v>
      </c>
      <c r="AA17" t="s">
        <v>5</v>
      </c>
      <c r="AC17" t="s">
        <v>84</v>
      </c>
      <c r="AD17">
        <v>44</v>
      </c>
      <c r="AE17">
        <v>94.29</v>
      </c>
      <c r="AF17">
        <v>4</v>
      </c>
      <c r="AG17" t="s">
        <v>85</v>
      </c>
      <c r="AH17" t="s">
        <v>5</v>
      </c>
      <c r="AJ17" t="s">
        <v>84</v>
      </c>
      <c r="AK17">
        <v>58</v>
      </c>
      <c r="AL17">
        <v>94.62</v>
      </c>
      <c r="AM17">
        <v>8</v>
      </c>
      <c r="AN17" t="s">
        <v>85</v>
      </c>
      <c r="AO17" t="s">
        <v>5</v>
      </c>
      <c r="AQ17" t="s">
        <v>84</v>
      </c>
      <c r="AR17">
        <v>53</v>
      </c>
      <c r="AS17">
        <v>95.95</v>
      </c>
      <c r="AT17">
        <v>1</v>
      </c>
      <c r="AU17" t="s">
        <v>85</v>
      </c>
      <c r="AV17" t="s">
        <v>6</v>
      </c>
      <c r="AX17" t="s">
        <v>84</v>
      </c>
      <c r="AY17">
        <v>70</v>
      </c>
      <c r="AZ17">
        <v>120.71</v>
      </c>
      <c r="BA17">
        <v>2</v>
      </c>
      <c r="BB17" t="s">
        <v>85</v>
      </c>
      <c r="BC17" t="s">
        <v>6</v>
      </c>
      <c r="BE17" t="s">
        <v>84</v>
      </c>
      <c r="BF17">
        <v>77</v>
      </c>
      <c r="BG17">
        <v>158.07</v>
      </c>
      <c r="BH17">
        <v>4</v>
      </c>
      <c r="BI17" t="s">
        <v>85</v>
      </c>
      <c r="BJ17" t="s">
        <v>6</v>
      </c>
      <c r="BL17" t="s">
        <v>84</v>
      </c>
      <c r="BM17">
        <v>85</v>
      </c>
      <c r="BN17">
        <v>151.86000000000001</v>
      </c>
      <c r="BO17">
        <v>2</v>
      </c>
      <c r="BP17" t="s">
        <v>85</v>
      </c>
      <c r="BQ17" t="s">
        <v>4</v>
      </c>
      <c r="BS17" t="s">
        <v>84</v>
      </c>
      <c r="BT17">
        <v>5</v>
      </c>
      <c r="BU17">
        <v>89.48</v>
      </c>
      <c r="BV17">
        <v>8</v>
      </c>
      <c r="BW17" t="s">
        <v>85</v>
      </c>
      <c r="BX17" t="s">
        <v>4</v>
      </c>
      <c r="BZ17" t="s">
        <v>84</v>
      </c>
      <c r="CA17">
        <v>86</v>
      </c>
      <c r="CB17">
        <v>153.82</v>
      </c>
      <c r="CC17">
        <v>6</v>
      </c>
      <c r="CD17" t="s">
        <v>85</v>
      </c>
      <c r="CE17" t="s">
        <v>4</v>
      </c>
    </row>
    <row r="18" spans="1:83" x14ac:dyDescent="0.25">
      <c r="A18" t="s">
        <v>84</v>
      </c>
      <c r="B18">
        <v>17</v>
      </c>
      <c r="C18">
        <v>100.54</v>
      </c>
      <c r="D18">
        <v>2</v>
      </c>
      <c r="E18" t="s">
        <v>85</v>
      </c>
      <c r="F18" t="s">
        <v>3</v>
      </c>
      <c r="H18" t="s">
        <v>84</v>
      </c>
      <c r="I18">
        <v>23</v>
      </c>
      <c r="J18">
        <v>94</v>
      </c>
      <c r="K18">
        <v>4</v>
      </c>
      <c r="L18" t="s">
        <v>85</v>
      </c>
      <c r="M18" t="s">
        <v>3</v>
      </c>
      <c r="O18" t="s">
        <v>84</v>
      </c>
      <c r="P18">
        <v>29</v>
      </c>
      <c r="Q18">
        <v>104.69</v>
      </c>
      <c r="R18">
        <v>8</v>
      </c>
      <c r="S18" t="s">
        <v>85</v>
      </c>
      <c r="T18" t="s">
        <v>3</v>
      </c>
      <c r="V18" t="s">
        <v>84</v>
      </c>
      <c r="W18">
        <v>31</v>
      </c>
      <c r="X18">
        <v>166.09</v>
      </c>
      <c r="Y18">
        <v>2</v>
      </c>
      <c r="Z18" t="s">
        <v>85</v>
      </c>
      <c r="AA18" t="s">
        <v>5</v>
      </c>
      <c r="AC18" t="s">
        <v>84</v>
      </c>
      <c r="AD18">
        <v>45</v>
      </c>
      <c r="AE18">
        <v>98.11</v>
      </c>
      <c r="AF18">
        <v>4</v>
      </c>
      <c r="AG18" t="s">
        <v>85</v>
      </c>
      <c r="AH18" t="s">
        <v>5</v>
      </c>
      <c r="AJ18" t="s">
        <v>84</v>
      </c>
      <c r="AK18">
        <v>59</v>
      </c>
      <c r="AL18">
        <v>97</v>
      </c>
      <c r="AM18">
        <v>8</v>
      </c>
      <c r="AN18" t="s">
        <v>85</v>
      </c>
      <c r="AO18" t="s">
        <v>5</v>
      </c>
      <c r="AQ18" t="s">
        <v>84</v>
      </c>
      <c r="AR18">
        <v>54</v>
      </c>
      <c r="AS18">
        <v>97.58</v>
      </c>
      <c r="AT18">
        <v>1</v>
      </c>
      <c r="AU18" t="s">
        <v>85</v>
      </c>
      <c r="AV18" t="s">
        <v>6</v>
      </c>
      <c r="AX18" t="s">
        <v>84</v>
      </c>
      <c r="AY18">
        <v>71</v>
      </c>
      <c r="AZ18">
        <v>136.77000000000001</v>
      </c>
      <c r="BA18">
        <v>2</v>
      </c>
      <c r="BB18" t="s">
        <v>85</v>
      </c>
      <c r="BC18" t="s">
        <v>6</v>
      </c>
      <c r="BE18" t="s">
        <v>84</v>
      </c>
      <c r="BF18">
        <v>78</v>
      </c>
      <c r="BG18">
        <v>160.32</v>
      </c>
      <c r="BH18">
        <v>4</v>
      </c>
      <c r="BI18" t="s">
        <v>85</v>
      </c>
      <c r="BJ18" t="s">
        <v>6</v>
      </c>
      <c r="BL18" t="s">
        <v>84</v>
      </c>
      <c r="BM18">
        <v>88</v>
      </c>
      <c r="BN18">
        <v>105.5</v>
      </c>
      <c r="BO18">
        <v>2</v>
      </c>
      <c r="BP18" t="s">
        <v>85</v>
      </c>
      <c r="BQ18" t="s">
        <v>4</v>
      </c>
      <c r="BS18" t="s">
        <v>84</v>
      </c>
      <c r="BT18">
        <v>6</v>
      </c>
      <c r="BU18">
        <v>89.48</v>
      </c>
      <c r="BV18">
        <v>8</v>
      </c>
      <c r="BW18" t="s">
        <v>85</v>
      </c>
      <c r="BX18" t="s">
        <v>4</v>
      </c>
      <c r="BZ18" t="s">
        <v>84</v>
      </c>
      <c r="CA18">
        <v>87</v>
      </c>
      <c r="CB18">
        <v>152.56</v>
      </c>
      <c r="CC18">
        <v>6</v>
      </c>
      <c r="CD18" t="s">
        <v>85</v>
      </c>
      <c r="CE18" t="s">
        <v>4</v>
      </c>
    </row>
    <row r="19" spans="1:83" x14ac:dyDescent="0.25">
      <c r="A19" t="s">
        <v>84</v>
      </c>
      <c r="B19">
        <v>18</v>
      </c>
      <c r="C19">
        <v>101.88</v>
      </c>
      <c r="D19">
        <v>2</v>
      </c>
      <c r="E19" t="s">
        <v>85</v>
      </c>
      <c r="F19" t="s">
        <v>3</v>
      </c>
      <c r="H19" t="s">
        <v>84</v>
      </c>
      <c r="I19">
        <v>24</v>
      </c>
      <c r="J19">
        <v>105.61</v>
      </c>
      <c r="K19">
        <v>4</v>
      </c>
      <c r="L19" t="s">
        <v>85</v>
      </c>
      <c r="M19" t="s">
        <v>3</v>
      </c>
      <c r="O19" t="s">
        <v>84</v>
      </c>
      <c r="P19">
        <v>30</v>
      </c>
      <c r="Q19">
        <v>129.97</v>
      </c>
      <c r="R19">
        <v>8</v>
      </c>
      <c r="S19" t="s">
        <v>85</v>
      </c>
      <c r="T19" t="s">
        <v>3</v>
      </c>
      <c r="V19" t="s">
        <v>84</v>
      </c>
      <c r="W19">
        <v>32</v>
      </c>
      <c r="X19">
        <v>166.5</v>
      </c>
      <c r="Y19">
        <v>2</v>
      </c>
      <c r="Z19" t="s">
        <v>85</v>
      </c>
      <c r="AA19" t="s">
        <v>5</v>
      </c>
      <c r="AC19" t="s">
        <v>84</v>
      </c>
      <c r="AD19">
        <v>46</v>
      </c>
      <c r="AE19">
        <v>94.48</v>
      </c>
      <c r="AF19">
        <v>4</v>
      </c>
      <c r="AG19" t="s">
        <v>85</v>
      </c>
      <c r="AH19" t="s">
        <v>5</v>
      </c>
      <c r="AJ19" t="s">
        <v>84</v>
      </c>
      <c r="AK19">
        <v>60</v>
      </c>
      <c r="AL19">
        <v>96.22</v>
      </c>
      <c r="AM19">
        <v>8</v>
      </c>
      <c r="AN19" t="s">
        <v>85</v>
      </c>
      <c r="AO19" t="s">
        <v>5</v>
      </c>
      <c r="AQ19" t="s">
        <v>84</v>
      </c>
      <c r="AR19">
        <v>55</v>
      </c>
      <c r="AS19">
        <v>99.07</v>
      </c>
      <c r="AT19">
        <v>1</v>
      </c>
      <c r="AU19" t="s">
        <v>85</v>
      </c>
      <c r="AV19" t="s">
        <v>6</v>
      </c>
      <c r="AX19" t="s">
        <v>84</v>
      </c>
      <c r="AY19">
        <v>72</v>
      </c>
      <c r="AZ19">
        <v>157</v>
      </c>
      <c r="BA19">
        <v>2</v>
      </c>
      <c r="BB19" t="s">
        <v>85</v>
      </c>
      <c r="BC19" t="s">
        <v>6</v>
      </c>
      <c r="BE19" t="s">
        <v>84</v>
      </c>
      <c r="BF19">
        <v>79</v>
      </c>
      <c r="BG19">
        <v>207.25</v>
      </c>
      <c r="BH19">
        <v>4</v>
      </c>
      <c r="BI19" t="s">
        <v>85</v>
      </c>
      <c r="BJ19" t="s">
        <v>6</v>
      </c>
      <c r="BL19" t="s">
        <v>84</v>
      </c>
      <c r="BM19">
        <v>89</v>
      </c>
      <c r="BN19">
        <v>131.5</v>
      </c>
      <c r="BO19">
        <v>2</v>
      </c>
      <c r="BP19" t="s">
        <v>85</v>
      </c>
      <c r="BQ19" t="s">
        <v>4</v>
      </c>
      <c r="BS19" t="s">
        <v>84</v>
      </c>
      <c r="BT19">
        <v>7</v>
      </c>
      <c r="BU19">
        <v>95.48</v>
      </c>
      <c r="BV19">
        <v>8</v>
      </c>
      <c r="BW19" t="s">
        <v>85</v>
      </c>
      <c r="BX19" t="s">
        <v>4</v>
      </c>
    </row>
    <row r="20" spans="1:83" x14ac:dyDescent="0.25">
      <c r="A20" t="s">
        <v>84</v>
      </c>
      <c r="B20">
        <v>19</v>
      </c>
      <c r="C20">
        <v>104.98</v>
      </c>
      <c r="D20">
        <v>2</v>
      </c>
      <c r="E20" t="s">
        <v>85</v>
      </c>
      <c r="F20" t="s">
        <v>3</v>
      </c>
      <c r="H20" t="s">
        <v>84</v>
      </c>
      <c r="I20">
        <v>25</v>
      </c>
      <c r="J20">
        <v>91.58</v>
      </c>
      <c r="K20">
        <v>4</v>
      </c>
      <c r="L20" t="s">
        <v>85</v>
      </c>
      <c r="M20" t="s">
        <v>3</v>
      </c>
      <c r="O20" t="s">
        <v>84</v>
      </c>
      <c r="P20">
        <v>31</v>
      </c>
      <c r="Q20">
        <v>156.59</v>
      </c>
      <c r="R20">
        <v>8</v>
      </c>
      <c r="S20" t="s">
        <v>85</v>
      </c>
      <c r="T20" t="s">
        <v>3</v>
      </c>
      <c r="V20" t="s">
        <v>84</v>
      </c>
      <c r="W20">
        <v>33</v>
      </c>
      <c r="X20">
        <v>168.6</v>
      </c>
      <c r="Y20">
        <v>2</v>
      </c>
      <c r="Z20" t="s">
        <v>85</v>
      </c>
      <c r="AA20" t="s">
        <v>5</v>
      </c>
      <c r="AC20" t="s">
        <v>84</v>
      </c>
      <c r="AD20">
        <v>47</v>
      </c>
      <c r="AE20">
        <v>90.85</v>
      </c>
      <c r="AF20">
        <v>4</v>
      </c>
      <c r="AG20" t="s">
        <v>85</v>
      </c>
      <c r="AH20" t="s">
        <v>5</v>
      </c>
      <c r="AJ20" t="s">
        <v>84</v>
      </c>
      <c r="AK20">
        <v>61</v>
      </c>
      <c r="AL20">
        <v>90.78</v>
      </c>
      <c r="AM20">
        <v>8</v>
      </c>
      <c r="AN20" t="s">
        <v>85</v>
      </c>
      <c r="AO20" t="s">
        <v>5</v>
      </c>
      <c r="AQ20" t="s">
        <v>84</v>
      </c>
      <c r="AR20">
        <v>56</v>
      </c>
      <c r="AS20">
        <v>101.5</v>
      </c>
      <c r="AT20">
        <v>1</v>
      </c>
      <c r="AU20" t="s">
        <v>85</v>
      </c>
      <c r="AV20" t="s">
        <v>6</v>
      </c>
      <c r="AX20" t="s">
        <v>84</v>
      </c>
      <c r="AY20">
        <v>73</v>
      </c>
      <c r="AZ20">
        <v>129.86000000000001</v>
      </c>
      <c r="BA20">
        <v>2</v>
      </c>
      <c r="BB20" t="s">
        <v>85</v>
      </c>
      <c r="BC20" t="s">
        <v>6</v>
      </c>
      <c r="BE20" t="s">
        <v>84</v>
      </c>
      <c r="BF20">
        <v>80</v>
      </c>
      <c r="BG20">
        <v>207.25</v>
      </c>
      <c r="BH20">
        <v>4</v>
      </c>
      <c r="BI20" t="s">
        <v>85</v>
      </c>
      <c r="BJ20" t="s">
        <v>6</v>
      </c>
      <c r="BL20" t="s">
        <v>84</v>
      </c>
      <c r="BM20">
        <v>90</v>
      </c>
      <c r="BN20">
        <v>125.25</v>
      </c>
      <c r="BO20">
        <v>2</v>
      </c>
      <c r="BP20" t="s">
        <v>85</v>
      </c>
      <c r="BQ20" t="s">
        <v>4</v>
      </c>
      <c r="BS20" t="s">
        <v>84</v>
      </c>
      <c r="BT20">
        <v>8</v>
      </c>
      <c r="BU20">
        <v>95.48</v>
      </c>
      <c r="BV20">
        <v>8</v>
      </c>
      <c r="BW20" t="s">
        <v>85</v>
      </c>
      <c r="BX20" t="s">
        <v>4</v>
      </c>
    </row>
    <row r="21" spans="1:83" x14ac:dyDescent="0.25">
      <c r="A21" t="s">
        <v>84</v>
      </c>
      <c r="B21">
        <v>20</v>
      </c>
      <c r="C21">
        <v>92.11</v>
      </c>
      <c r="D21">
        <v>2</v>
      </c>
      <c r="E21" t="s">
        <v>85</v>
      </c>
      <c r="F21" t="s">
        <v>3</v>
      </c>
      <c r="H21" t="s">
        <v>84</v>
      </c>
      <c r="I21">
        <v>26</v>
      </c>
      <c r="J21">
        <v>104.67</v>
      </c>
      <c r="K21">
        <v>4</v>
      </c>
      <c r="L21" t="s">
        <v>85</v>
      </c>
      <c r="M21" t="s">
        <v>3</v>
      </c>
      <c r="O21" t="s">
        <v>84</v>
      </c>
      <c r="P21">
        <v>32</v>
      </c>
      <c r="Q21">
        <v>157</v>
      </c>
      <c r="R21">
        <v>8</v>
      </c>
      <c r="S21" t="s">
        <v>85</v>
      </c>
      <c r="T21" t="s">
        <v>3</v>
      </c>
      <c r="V21" t="s">
        <v>84</v>
      </c>
      <c r="W21">
        <v>34</v>
      </c>
      <c r="X21">
        <v>166.09</v>
      </c>
      <c r="Y21">
        <v>2</v>
      </c>
      <c r="Z21" t="s">
        <v>85</v>
      </c>
      <c r="AA21" t="s">
        <v>5</v>
      </c>
      <c r="AC21" t="s">
        <v>84</v>
      </c>
      <c r="AD21">
        <v>48</v>
      </c>
      <c r="AE21">
        <v>100.98</v>
      </c>
      <c r="AF21">
        <v>4</v>
      </c>
      <c r="AG21" t="s">
        <v>85</v>
      </c>
      <c r="AH21" t="s">
        <v>5</v>
      </c>
      <c r="AJ21" t="s">
        <v>84</v>
      </c>
      <c r="AK21">
        <v>62</v>
      </c>
      <c r="AL21">
        <v>90.81</v>
      </c>
      <c r="AM21">
        <v>8</v>
      </c>
      <c r="AN21" t="s">
        <v>85</v>
      </c>
      <c r="AO21" t="s">
        <v>5</v>
      </c>
      <c r="AQ21" t="s">
        <v>84</v>
      </c>
      <c r="AR21">
        <v>57</v>
      </c>
      <c r="AS21">
        <v>102.2</v>
      </c>
      <c r="AT21">
        <v>1</v>
      </c>
      <c r="AU21" t="s">
        <v>85</v>
      </c>
      <c r="AV21" t="s">
        <v>6</v>
      </c>
      <c r="AX21" t="s">
        <v>84</v>
      </c>
      <c r="AY21">
        <v>74</v>
      </c>
      <c r="AZ21">
        <v>147.56</v>
      </c>
      <c r="BA21">
        <v>2</v>
      </c>
      <c r="BB21" t="s">
        <v>85</v>
      </c>
      <c r="BC21" t="s">
        <v>6</v>
      </c>
      <c r="BE21" t="s">
        <v>84</v>
      </c>
      <c r="BF21">
        <v>81</v>
      </c>
      <c r="BG21">
        <v>207.25</v>
      </c>
      <c r="BH21">
        <v>4</v>
      </c>
      <c r="BI21" t="s">
        <v>85</v>
      </c>
      <c r="BJ21" t="s">
        <v>6</v>
      </c>
      <c r="BL21" t="s">
        <v>84</v>
      </c>
      <c r="BM21">
        <v>91</v>
      </c>
      <c r="BN21">
        <v>112.4</v>
      </c>
      <c r="BO21">
        <v>2</v>
      </c>
      <c r="BP21" t="s">
        <v>85</v>
      </c>
      <c r="BQ21" t="s">
        <v>4</v>
      </c>
      <c r="BS21" t="s">
        <v>84</v>
      </c>
      <c r="BT21">
        <v>9</v>
      </c>
      <c r="BU21">
        <v>95.48</v>
      </c>
      <c r="BV21">
        <v>8</v>
      </c>
      <c r="BW21" t="s">
        <v>85</v>
      </c>
      <c r="BX21" t="s">
        <v>4</v>
      </c>
    </row>
    <row r="22" spans="1:83" x14ac:dyDescent="0.25">
      <c r="A22" t="s">
        <v>84</v>
      </c>
      <c r="B22">
        <v>21</v>
      </c>
      <c r="C22">
        <v>90.64</v>
      </c>
      <c r="D22">
        <v>2</v>
      </c>
      <c r="E22" t="s">
        <v>85</v>
      </c>
      <c r="F22" t="s">
        <v>3</v>
      </c>
      <c r="H22" t="s">
        <v>84</v>
      </c>
      <c r="I22">
        <v>27</v>
      </c>
      <c r="J22">
        <v>120.46</v>
      </c>
      <c r="K22">
        <v>4</v>
      </c>
      <c r="L22" t="s">
        <v>85</v>
      </c>
      <c r="M22" t="s">
        <v>3</v>
      </c>
      <c r="O22" t="s">
        <v>84</v>
      </c>
      <c r="P22">
        <v>33</v>
      </c>
      <c r="Q22">
        <v>159.1</v>
      </c>
      <c r="R22">
        <v>8</v>
      </c>
      <c r="S22" t="s">
        <v>85</v>
      </c>
      <c r="T22" t="s">
        <v>3</v>
      </c>
      <c r="V22" t="s">
        <v>84</v>
      </c>
      <c r="W22">
        <v>35</v>
      </c>
      <c r="X22">
        <v>145.56</v>
      </c>
      <c r="Y22">
        <v>2</v>
      </c>
      <c r="Z22" t="s">
        <v>85</v>
      </c>
      <c r="AA22" t="s">
        <v>5</v>
      </c>
      <c r="AC22" t="s">
        <v>84</v>
      </c>
      <c r="AD22">
        <v>49</v>
      </c>
      <c r="AE22">
        <v>101.49</v>
      </c>
      <c r="AF22">
        <v>4</v>
      </c>
      <c r="AG22" t="s">
        <v>85</v>
      </c>
      <c r="AH22" t="s">
        <v>5</v>
      </c>
      <c r="AJ22" t="s">
        <v>84</v>
      </c>
      <c r="AK22">
        <v>63</v>
      </c>
      <c r="AL22">
        <v>95.81</v>
      </c>
      <c r="AM22">
        <v>8</v>
      </c>
      <c r="AN22" t="s">
        <v>85</v>
      </c>
      <c r="AO22" t="s">
        <v>5</v>
      </c>
      <c r="AQ22" t="s">
        <v>84</v>
      </c>
      <c r="AR22">
        <v>58</v>
      </c>
      <c r="AS22">
        <v>104.12</v>
      </c>
      <c r="AT22">
        <v>1</v>
      </c>
      <c r="AU22" t="s">
        <v>85</v>
      </c>
      <c r="AV22" t="s">
        <v>6</v>
      </c>
      <c r="AX22" t="s">
        <v>84</v>
      </c>
      <c r="AY22">
        <v>76</v>
      </c>
      <c r="AZ22">
        <v>170.07</v>
      </c>
      <c r="BA22">
        <v>2</v>
      </c>
      <c r="BB22" t="s">
        <v>85</v>
      </c>
      <c r="BC22" t="s">
        <v>6</v>
      </c>
      <c r="BE22" t="s">
        <v>84</v>
      </c>
      <c r="BF22">
        <v>82</v>
      </c>
      <c r="BG22">
        <v>160.32</v>
      </c>
      <c r="BH22">
        <v>4</v>
      </c>
      <c r="BI22" t="s">
        <v>85</v>
      </c>
      <c r="BJ22" t="s">
        <v>6</v>
      </c>
      <c r="BL22" t="s">
        <v>84</v>
      </c>
      <c r="BM22">
        <v>92</v>
      </c>
      <c r="BN22">
        <v>104.84</v>
      </c>
      <c r="BO22">
        <v>2</v>
      </c>
      <c r="BP22" t="s">
        <v>85</v>
      </c>
      <c r="BQ22" t="s">
        <v>4</v>
      </c>
      <c r="BS22" t="s">
        <v>84</v>
      </c>
      <c r="BT22">
        <v>10</v>
      </c>
      <c r="BU22">
        <v>95.48</v>
      </c>
      <c r="BV22">
        <v>8</v>
      </c>
      <c r="BW22" t="s">
        <v>85</v>
      </c>
      <c r="BX22" t="s">
        <v>4</v>
      </c>
    </row>
    <row r="23" spans="1:83" x14ac:dyDescent="0.25">
      <c r="A23" t="s">
        <v>84</v>
      </c>
      <c r="B23">
        <v>22</v>
      </c>
      <c r="C23">
        <v>94.29</v>
      </c>
      <c r="D23">
        <v>2</v>
      </c>
      <c r="E23" t="s">
        <v>85</v>
      </c>
      <c r="F23" t="s">
        <v>3</v>
      </c>
      <c r="H23" t="s">
        <v>84</v>
      </c>
      <c r="I23">
        <v>28</v>
      </c>
      <c r="J23">
        <v>133.78</v>
      </c>
      <c r="K23">
        <v>4</v>
      </c>
      <c r="L23" t="s">
        <v>85</v>
      </c>
      <c r="M23" t="s">
        <v>3</v>
      </c>
      <c r="O23" t="s">
        <v>84</v>
      </c>
      <c r="P23">
        <v>34</v>
      </c>
      <c r="Q23">
        <v>156.59</v>
      </c>
      <c r="R23">
        <v>8</v>
      </c>
      <c r="S23" t="s">
        <v>85</v>
      </c>
      <c r="T23" t="s">
        <v>3</v>
      </c>
      <c r="V23" t="s">
        <v>84</v>
      </c>
      <c r="W23">
        <v>36</v>
      </c>
      <c r="X23">
        <v>120.19</v>
      </c>
      <c r="Y23">
        <v>2</v>
      </c>
      <c r="Z23" t="s">
        <v>85</v>
      </c>
      <c r="AA23" t="s">
        <v>5</v>
      </c>
      <c r="AC23" t="s">
        <v>84</v>
      </c>
      <c r="AD23">
        <v>50</v>
      </c>
      <c r="AE23">
        <v>99.97</v>
      </c>
      <c r="AF23">
        <v>4</v>
      </c>
      <c r="AG23" t="s">
        <v>85</v>
      </c>
      <c r="AH23" t="s">
        <v>5</v>
      </c>
      <c r="AJ23" t="s">
        <v>84</v>
      </c>
      <c r="AK23">
        <v>64</v>
      </c>
      <c r="AL23">
        <v>96.99</v>
      </c>
      <c r="AM23">
        <v>8</v>
      </c>
      <c r="AN23" t="s">
        <v>85</v>
      </c>
      <c r="AO23" t="s">
        <v>5</v>
      </c>
      <c r="AQ23" t="s">
        <v>84</v>
      </c>
      <c r="AR23">
        <v>59</v>
      </c>
      <c r="AS23">
        <v>106.5</v>
      </c>
      <c r="AT23">
        <v>1</v>
      </c>
      <c r="AU23" t="s">
        <v>85</v>
      </c>
      <c r="AV23" t="s">
        <v>6</v>
      </c>
      <c r="AX23" t="s">
        <v>84</v>
      </c>
      <c r="AY23">
        <v>85</v>
      </c>
      <c r="AZ23">
        <v>161.59</v>
      </c>
      <c r="BA23">
        <v>2</v>
      </c>
      <c r="BB23" t="s">
        <v>85</v>
      </c>
      <c r="BC23" t="s">
        <v>6</v>
      </c>
      <c r="BE23" t="s">
        <v>84</v>
      </c>
      <c r="BF23">
        <v>83</v>
      </c>
      <c r="BG23">
        <v>156.81</v>
      </c>
      <c r="BH23">
        <v>4</v>
      </c>
      <c r="BI23" t="s">
        <v>85</v>
      </c>
      <c r="BJ23" t="s">
        <v>6</v>
      </c>
      <c r="BL23" t="s">
        <v>84</v>
      </c>
      <c r="BM23">
        <v>93</v>
      </c>
      <c r="BN23">
        <v>120.78</v>
      </c>
      <c r="BO23">
        <v>2</v>
      </c>
      <c r="BP23" t="s">
        <v>85</v>
      </c>
      <c r="BQ23" t="s">
        <v>4</v>
      </c>
      <c r="BS23" t="s">
        <v>84</v>
      </c>
      <c r="BT23">
        <v>11</v>
      </c>
      <c r="BU23">
        <v>95.48</v>
      </c>
      <c r="BV23">
        <v>8</v>
      </c>
      <c r="BW23" t="s">
        <v>85</v>
      </c>
      <c r="BX23" t="s">
        <v>4</v>
      </c>
    </row>
    <row r="24" spans="1:83" x14ac:dyDescent="0.25">
      <c r="A24" t="s">
        <v>84</v>
      </c>
      <c r="B24">
        <v>23</v>
      </c>
      <c r="C24">
        <v>98.5</v>
      </c>
      <c r="D24">
        <v>2</v>
      </c>
      <c r="E24" t="s">
        <v>85</v>
      </c>
      <c r="F24" t="s">
        <v>3</v>
      </c>
      <c r="H24" t="s">
        <v>84</v>
      </c>
      <c r="I24">
        <v>29</v>
      </c>
      <c r="J24">
        <v>109.69</v>
      </c>
      <c r="K24">
        <v>4</v>
      </c>
      <c r="L24" t="s">
        <v>85</v>
      </c>
      <c r="M24" t="s">
        <v>3</v>
      </c>
      <c r="O24" t="s">
        <v>84</v>
      </c>
      <c r="P24">
        <v>35</v>
      </c>
      <c r="Q24">
        <v>136.06</v>
      </c>
      <c r="R24">
        <v>8</v>
      </c>
      <c r="S24" t="s">
        <v>85</v>
      </c>
      <c r="T24" t="s">
        <v>3</v>
      </c>
      <c r="V24" t="s">
        <v>84</v>
      </c>
      <c r="W24">
        <v>37</v>
      </c>
      <c r="X24">
        <v>150.5</v>
      </c>
      <c r="Y24">
        <v>2</v>
      </c>
      <c r="Z24" t="s">
        <v>85</v>
      </c>
      <c r="AA24" t="s">
        <v>5</v>
      </c>
      <c r="AC24" t="s">
        <v>84</v>
      </c>
      <c r="AD24">
        <v>51</v>
      </c>
      <c r="AE24">
        <v>90.97</v>
      </c>
      <c r="AF24">
        <v>4</v>
      </c>
      <c r="AG24" t="s">
        <v>85</v>
      </c>
      <c r="AH24" t="s">
        <v>5</v>
      </c>
      <c r="AJ24" t="s">
        <v>84</v>
      </c>
      <c r="AK24">
        <v>65</v>
      </c>
      <c r="AL24">
        <v>92</v>
      </c>
      <c r="AM24">
        <v>8</v>
      </c>
      <c r="AN24" t="s">
        <v>85</v>
      </c>
      <c r="AO24" t="s">
        <v>5</v>
      </c>
      <c r="AQ24" t="s">
        <v>84</v>
      </c>
      <c r="AR24">
        <v>60</v>
      </c>
      <c r="AS24">
        <v>105.72</v>
      </c>
      <c r="AT24">
        <v>1</v>
      </c>
      <c r="AU24" t="s">
        <v>85</v>
      </c>
      <c r="AV24" t="s">
        <v>6</v>
      </c>
      <c r="AX24" t="s">
        <v>84</v>
      </c>
      <c r="AY24">
        <v>89</v>
      </c>
      <c r="AZ24">
        <v>127</v>
      </c>
      <c r="BA24">
        <v>2</v>
      </c>
      <c r="BB24" t="s">
        <v>85</v>
      </c>
      <c r="BC24" t="s">
        <v>6</v>
      </c>
      <c r="BE24" t="s">
        <v>84</v>
      </c>
      <c r="BF24">
        <v>84</v>
      </c>
      <c r="BG24">
        <v>156.81</v>
      </c>
      <c r="BH24">
        <v>4</v>
      </c>
      <c r="BI24" t="s">
        <v>85</v>
      </c>
      <c r="BJ24" t="s">
        <v>6</v>
      </c>
      <c r="BL24" t="s">
        <v>84</v>
      </c>
      <c r="BM24">
        <v>94</v>
      </c>
      <c r="BN24">
        <v>114.54</v>
      </c>
      <c r="BO24">
        <v>2</v>
      </c>
      <c r="BP24" t="s">
        <v>85</v>
      </c>
      <c r="BQ24" t="s">
        <v>4</v>
      </c>
      <c r="BS24" t="s">
        <v>84</v>
      </c>
      <c r="BT24">
        <v>12</v>
      </c>
      <c r="BU24">
        <v>95.48</v>
      </c>
      <c r="BV24">
        <v>8</v>
      </c>
      <c r="BW24" t="s">
        <v>85</v>
      </c>
      <c r="BX24" t="s">
        <v>4</v>
      </c>
    </row>
    <row r="25" spans="1:83" x14ac:dyDescent="0.25">
      <c r="A25" t="s">
        <v>84</v>
      </c>
      <c r="B25">
        <v>24</v>
      </c>
      <c r="C25">
        <v>110.11</v>
      </c>
      <c r="D25">
        <v>2</v>
      </c>
      <c r="E25" t="s">
        <v>85</v>
      </c>
      <c r="F25" t="s">
        <v>3</v>
      </c>
      <c r="H25" t="s">
        <v>84</v>
      </c>
      <c r="I25">
        <v>30</v>
      </c>
      <c r="J25">
        <v>134.97</v>
      </c>
      <c r="K25">
        <v>4</v>
      </c>
      <c r="L25" t="s">
        <v>85</v>
      </c>
      <c r="M25" t="s">
        <v>3</v>
      </c>
      <c r="O25" t="s">
        <v>84</v>
      </c>
      <c r="P25">
        <v>36</v>
      </c>
      <c r="Q25">
        <v>110.69</v>
      </c>
      <c r="R25">
        <v>8</v>
      </c>
      <c r="S25" t="s">
        <v>85</v>
      </c>
      <c r="T25" t="s">
        <v>3</v>
      </c>
      <c r="V25" t="s">
        <v>84</v>
      </c>
      <c r="W25">
        <v>38</v>
      </c>
      <c r="X25">
        <v>126.5</v>
      </c>
      <c r="Y25">
        <v>2</v>
      </c>
      <c r="Z25" t="s">
        <v>85</v>
      </c>
      <c r="AA25" t="s">
        <v>5</v>
      </c>
      <c r="AC25" t="s">
        <v>84</v>
      </c>
      <c r="AD25">
        <v>52</v>
      </c>
      <c r="AE25">
        <v>90.97</v>
      </c>
      <c r="AF25">
        <v>4</v>
      </c>
      <c r="AG25" t="s">
        <v>85</v>
      </c>
      <c r="AH25" t="s">
        <v>5</v>
      </c>
      <c r="AJ25" t="s">
        <v>84</v>
      </c>
      <c r="AK25">
        <v>66</v>
      </c>
      <c r="AL25">
        <v>105.56</v>
      </c>
      <c r="AM25">
        <v>8</v>
      </c>
      <c r="AN25" t="s">
        <v>85</v>
      </c>
      <c r="AO25" t="s">
        <v>5</v>
      </c>
      <c r="AQ25" t="s">
        <v>84</v>
      </c>
      <c r="AR25">
        <v>61</v>
      </c>
      <c r="AS25">
        <v>100.28</v>
      </c>
      <c r="AT25">
        <v>1</v>
      </c>
      <c r="AU25" t="s">
        <v>85</v>
      </c>
      <c r="AV25" t="s">
        <v>6</v>
      </c>
      <c r="AX25" t="s">
        <v>84</v>
      </c>
      <c r="AY25">
        <v>90</v>
      </c>
      <c r="AZ25">
        <v>120.75</v>
      </c>
      <c r="BA25">
        <v>2</v>
      </c>
      <c r="BB25" t="s">
        <v>85</v>
      </c>
      <c r="BC25" t="s">
        <v>6</v>
      </c>
      <c r="BE25" t="s">
        <v>84</v>
      </c>
      <c r="BF25">
        <v>86</v>
      </c>
      <c r="BG25">
        <v>158.07</v>
      </c>
      <c r="BH25">
        <v>4</v>
      </c>
      <c r="BI25" t="s">
        <v>85</v>
      </c>
      <c r="BJ25" t="s">
        <v>6</v>
      </c>
      <c r="BL25" t="s">
        <v>84</v>
      </c>
      <c r="BM25">
        <v>95</v>
      </c>
      <c r="BN25">
        <v>104.9</v>
      </c>
      <c r="BO25">
        <v>2</v>
      </c>
      <c r="BP25" t="s">
        <v>85</v>
      </c>
      <c r="BQ25" t="s">
        <v>4</v>
      </c>
      <c r="BS25" t="s">
        <v>84</v>
      </c>
      <c r="BT25">
        <v>13</v>
      </c>
      <c r="BU25">
        <v>95.9</v>
      </c>
      <c r="BV25">
        <v>8</v>
      </c>
      <c r="BW25" t="s">
        <v>85</v>
      </c>
      <c r="BX25" t="s">
        <v>4</v>
      </c>
    </row>
    <row r="26" spans="1:83" x14ac:dyDescent="0.25">
      <c r="A26" t="s">
        <v>84</v>
      </c>
      <c r="B26">
        <v>25</v>
      </c>
      <c r="C26">
        <v>96.08</v>
      </c>
      <c r="D26">
        <v>2</v>
      </c>
      <c r="E26" t="s">
        <v>85</v>
      </c>
      <c r="F26" t="s">
        <v>3</v>
      </c>
      <c r="H26" t="s">
        <v>84</v>
      </c>
      <c r="I26">
        <v>31</v>
      </c>
      <c r="J26">
        <v>161.59</v>
      </c>
      <c r="K26">
        <v>4</v>
      </c>
      <c r="L26" t="s">
        <v>85</v>
      </c>
      <c r="M26" t="s">
        <v>3</v>
      </c>
      <c r="O26" t="s">
        <v>84</v>
      </c>
      <c r="P26">
        <v>37</v>
      </c>
      <c r="Q26">
        <v>141</v>
      </c>
      <c r="R26">
        <v>8</v>
      </c>
      <c r="S26" t="s">
        <v>85</v>
      </c>
      <c r="T26" t="s">
        <v>3</v>
      </c>
      <c r="V26" t="s">
        <v>84</v>
      </c>
      <c r="W26">
        <v>39</v>
      </c>
      <c r="X26">
        <v>118.93</v>
      </c>
      <c r="Y26">
        <v>2</v>
      </c>
      <c r="Z26" t="s">
        <v>85</v>
      </c>
      <c r="AA26" t="s">
        <v>5</v>
      </c>
      <c r="AC26" t="s">
        <v>84</v>
      </c>
      <c r="AD26">
        <v>53</v>
      </c>
      <c r="AE26">
        <v>91.45</v>
      </c>
      <c r="AF26">
        <v>4</v>
      </c>
      <c r="AG26" t="s">
        <v>85</v>
      </c>
      <c r="AH26" t="s">
        <v>5</v>
      </c>
      <c r="AJ26" t="s">
        <v>84</v>
      </c>
      <c r="AK26">
        <v>67</v>
      </c>
      <c r="AL26">
        <v>117.69</v>
      </c>
      <c r="AM26">
        <v>8</v>
      </c>
      <c r="AN26" t="s">
        <v>85</v>
      </c>
      <c r="AO26" t="s">
        <v>5</v>
      </c>
      <c r="AQ26" t="s">
        <v>84</v>
      </c>
      <c r="AR26">
        <v>62</v>
      </c>
      <c r="AS26">
        <v>100.31</v>
      </c>
      <c r="AT26">
        <v>1</v>
      </c>
      <c r="AU26" t="s">
        <v>85</v>
      </c>
      <c r="AV26" t="s">
        <v>6</v>
      </c>
      <c r="AX26" t="s">
        <v>84</v>
      </c>
      <c r="AY26">
        <v>91</v>
      </c>
      <c r="AZ26">
        <v>116.65</v>
      </c>
      <c r="BA26">
        <v>2</v>
      </c>
      <c r="BB26" t="s">
        <v>85</v>
      </c>
      <c r="BC26" t="s">
        <v>6</v>
      </c>
      <c r="BE26" t="s">
        <v>84</v>
      </c>
      <c r="BF26">
        <v>87</v>
      </c>
      <c r="BG26">
        <v>156.81</v>
      </c>
      <c r="BH26">
        <v>4</v>
      </c>
      <c r="BI26" t="s">
        <v>85</v>
      </c>
      <c r="BJ26" t="s">
        <v>6</v>
      </c>
      <c r="BL26" t="s">
        <v>84</v>
      </c>
      <c r="BM26">
        <v>96</v>
      </c>
      <c r="BN26">
        <v>104.38</v>
      </c>
      <c r="BO26">
        <v>2</v>
      </c>
      <c r="BP26" t="s">
        <v>85</v>
      </c>
      <c r="BQ26" t="s">
        <v>4</v>
      </c>
      <c r="BS26" t="s">
        <v>84</v>
      </c>
      <c r="BT26">
        <v>14</v>
      </c>
      <c r="BU26">
        <v>97</v>
      </c>
      <c r="BV26">
        <v>8</v>
      </c>
      <c r="BW26" t="s">
        <v>85</v>
      </c>
      <c r="BX26" t="s">
        <v>4</v>
      </c>
    </row>
    <row r="27" spans="1:83" x14ac:dyDescent="0.25">
      <c r="A27" t="s">
        <v>84</v>
      </c>
      <c r="B27">
        <v>26</v>
      </c>
      <c r="C27">
        <v>109.17</v>
      </c>
      <c r="D27">
        <v>2</v>
      </c>
      <c r="E27" t="s">
        <v>85</v>
      </c>
      <c r="F27" t="s">
        <v>3</v>
      </c>
      <c r="H27" t="s">
        <v>84</v>
      </c>
      <c r="I27">
        <v>32</v>
      </c>
      <c r="J27">
        <v>162</v>
      </c>
      <c r="K27">
        <v>4</v>
      </c>
      <c r="L27" t="s">
        <v>85</v>
      </c>
      <c r="M27" t="s">
        <v>3</v>
      </c>
      <c r="O27" t="s">
        <v>84</v>
      </c>
      <c r="P27">
        <v>38</v>
      </c>
      <c r="Q27">
        <v>117</v>
      </c>
      <c r="R27">
        <v>8</v>
      </c>
      <c r="S27" t="s">
        <v>85</v>
      </c>
      <c r="T27" t="s">
        <v>3</v>
      </c>
      <c r="V27" t="s">
        <v>84</v>
      </c>
      <c r="W27">
        <v>40</v>
      </c>
      <c r="X27">
        <v>102.02</v>
      </c>
      <c r="Y27">
        <v>2</v>
      </c>
      <c r="Z27" t="s">
        <v>85</v>
      </c>
      <c r="AA27" t="s">
        <v>5</v>
      </c>
      <c r="AC27" t="s">
        <v>84</v>
      </c>
      <c r="AD27">
        <v>54</v>
      </c>
      <c r="AE27">
        <v>93.08</v>
      </c>
      <c r="AF27">
        <v>4</v>
      </c>
      <c r="AG27" t="s">
        <v>85</v>
      </c>
      <c r="AH27" t="s">
        <v>5</v>
      </c>
      <c r="AJ27" t="s">
        <v>84</v>
      </c>
      <c r="AK27">
        <v>68</v>
      </c>
      <c r="AL27">
        <v>130</v>
      </c>
      <c r="AM27">
        <v>8</v>
      </c>
      <c r="AN27" t="s">
        <v>85</v>
      </c>
      <c r="AO27" t="s">
        <v>5</v>
      </c>
      <c r="AQ27" t="s">
        <v>84</v>
      </c>
      <c r="AR27">
        <v>63</v>
      </c>
      <c r="AS27">
        <v>105.31</v>
      </c>
      <c r="AT27">
        <v>1</v>
      </c>
      <c r="AU27" t="s">
        <v>85</v>
      </c>
      <c r="AV27" t="s">
        <v>6</v>
      </c>
      <c r="AX27" t="s">
        <v>84</v>
      </c>
      <c r="AY27">
        <v>92</v>
      </c>
      <c r="AZ27">
        <v>116.65</v>
      </c>
      <c r="BA27">
        <v>2</v>
      </c>
      <c r="BB27" t="s">
        <v>85</v>
      </c>
      <c r="BC27" t="s">
        <v>6</v>
      </c>
      <c r="BE27" t="s">
        <v>84</v>
      </c>
      <c r="BF27">
        <v>88</v>
      </c>
      <c r="BG27">
        <v>130.81</v>
      </c>
      <c r="BH27">
        <v>4</v>
      </c>
      <c r="BI27" t="s">
        <v>85</v>
      </c>
      <c r="BJ27" t="s">
        <v>6</v>
      </c>
      <c r="BL27" t="s">
        <v>84</v>
      </c>
      <c r="BM27">
        <v>1</v>
      </c>
      <c r="BN27">
        <v>111.59</v>
      </c>
      <c r="BO27">
        <v>4</v>
      </c>
      <c r="BP27" t="s">
        <v>85</v>
      </c>
      <c r="BQ27" t="s">
        <v>4</v>
      </c>
      <c r="BS27" t="s">
        <v>84</v>
      </c>
      <c r="BT27">
        <v>15</v>
      </c>
      <c r="BU27">
        <v>97</v>
      </c>
      <c r="BV27">
        <v>8</v>
      </c>
      <c r="BW27" t="s">
        <v>85</v>
      </c>
      <c r="BX27" t="s">
        <v>4</v>
      </c>
    </row>
    <row r="28" spans="1:83" x14ac:dyDescent="0.25">
      <c r="A28" t="s">
        <v>84</v>
      </c>
      <c r="B28">
        <v>27</v>
      </c>
      <c r="C28">
        <v>124.96</v>
      </c>
      <c r="D28">
        <v>2</v>
      </c>
      <c r="E28" t="s">
        <v>85</v>
      </c>
      <c r="F28" t="s">
        <v>3</v>
      </c>
      <c r="H28" t="s">
        <v>84</v>
      </c>
      <c r="I28">
        <v>33</v>
      </c>
      <c r="J28">
        <v>164.1</v>
      </c>
      <c r="K28">
        <v>4</v>
      </c>
      <c r="L28" t="s">
        <v>85</v>
      </c>
      <c r="M28" t="s">
        <v>3</v>
      </c>
      <c r="O28" t="s">
        <v>84</v>
      </c>
      <c r="P28">
        <v>39</v>
      </c>
      <c r="Q28">
        <v>109.43</v>
      </c>
      <c r="R28">
        <v>8</v>
      </c>
      <c r="S28" t="s">
        <v>85</v>
      </c>
      <c r="T28" t="s">
        <v>3</v>
      </c>
      <c r="V28" t="s">
        <v>84</v>
      </c>
      <c r="W28">
        <v>41</v>
      </c>
      <c r="X28">
        <v>126.5</v>
      </c>
      <c r="Y28">
        <v>2</v>
      </c>
      <c r="Z28" t="s">
        <v>85</v>
      </c>
      <c r="AA28" t="s">
        <v>5</v>
      </c>
      <c r="AC28" t="s">
        <v>84</v>
      </c>
      <c r="AD28">
        <v>55</v>
      </c>
      <c r="AE28">
        <v>94.57</v>
      </c>
      <c r="AF28">
        <v>4</v>
      </c>
      <c r="AG28" t="s">
        <v>85</v>
      </c>
      <c r="AH28" t="s">
        <v>5</v>
      </c>
      <c r="AJ28" t="s">
        <v>84</v>
      </c>
      <c r="AK28">
        <v>69</v>
      </c>
      <c r="AL28">
        <v>103.28</v>
      </c>
      <c r="AM28">
        <v>8</v>
      </c>
      <c r="AN28" t="s">
        <v>85</v>
      </c>
      <c r="AO28" t="s">
        <v>5</v>
      </c>
      <c r="AQ28" t="s">
        <v>84</v>
      </c>
      <c r="AR28">
        <v>64</v>
      </c>
      <c r="AS28">
        <v>101.31</v>
      </c>
      <c r="AT28">
        <v>1</v>
      </c>
      <c r="AU28" t="s">
        <v>85</v>
      </c>
      <c r="AV28" t="s">
        <v>6</v>
      </c>
      <c r="AX28" t="s">
        <v>84</v>
      </c>
      <c r="AY28">
        <v>93</v>
      </c>
      <c r="AZ28">
        <v>116.28</v>
      </c>
      <c r="BA28">
        <v>2</v>
      </c>
      <c r="BB28" t="s">
        <v>85</v>
      </c>
      <c r="BC28" t="s">
        <v>6</v>
      </c>
      <c r="BE28" t="s">
        <v>84</v>
      </c>
      <c r="BF28">
        <v>34</v>
      </c>
      <c r="BG28">
        <v>152.56</v>
      </c>
      <c r="BH28">
        <v>3</v>
      </c>
      <c r="BI28" t="s">
        <v>85</v>
      </c>
      <c r="BJ28" t="s">
        <v>6</v>
      </c>
      <c r="BL28" t="s">
        <v>84</v>
      </c>
      <c r="BM28">
        <v>2</v>
      </c>
      <c r="BN28">
        <v>100.43</v>
      </c>
      <c r="BO28">
        <v>4</v>
      </c>
      <c r="BP28" t="s">
        <v>85</v>
      </c>
      <c r="BQ28" t="s">
        <v>4</v>
      </c>
      <c r="BS28" t="s">
        <v>84</v>
      </c>
      <c r="BT28">
        <v>16</v>
      </c>
      <c r="BU28">
        <v>97.43</v>
      </c>
      <c r="BV28">
        <v>8</v>
      </c>
      <c r="BW28" t="s">
        <v>85</v>
      </c>
      <c r="BX28" t="s">
        <v>4</v>
      </c>
    </row>
    <row r="29" spans="1:83" x14ac:dyDescent="0.25">
      <c r="A29" t="s">
        <v>84</v>
      </c>
      <c r="B29">
        <v>28</v>
      </c>
      <c r="C29">
        <v>138.28</v>
      </c>
      <c r="D29">
        <v>2</v>
      </c>
      <c r="E29" t="s">
        <v>85</v>
      </c>
      <c r="F29" t="s">
        <v>3</v>
      </c>
      <c r="H29" t="s">
        <v>84</v>
      </c>
      <c r="I29">
        <v>34</v>
      </c>
      <c r="J29">
        <v>161.59</v>
      </c>
      <c r="K29">
        <v>4</v>
      </c>
      <c r="L29" t="s">
        <v>85</v>
      </c>
      <c r="M29" t="s">
        <v>3</v>
      </c>
      <c r="O29" t="s">
        <v>84</v>
      </c>
      <c r="P29">
        <v>40</v>
      </c>
      <c r="Q29">
        <v>92.52</v>
      </c>
      <c r="R29">
        <v>8</v>
      </c>
      <c r="S29" t="s">
        <v>85</v>
      </c>
      <c r="T29" t="s">
        <v>3</v>
      </c>
      <c r="V29" t="s">
        <v>84</v>
      </c>
      <c r="W29">
        <v>42</v>
      </c>
      <c r="X29">
        <v>116.14</v>
      </c>
      <c r="Y29">
        <v>2</v>
      </c>
      <c r="Z29" t="s">
        <v>85</v>
      </c>
      <c r="AA29" t="s">
        <v>5</v>
      </c>
      <c r="AC29" t="s">
        <v>84</v>
      </c>
      <c r="AD29">
        <v>56</v>
      </c>
      <c r="AE29">
        <v>97</v>
      </c>
      <c r="AF29">
        <v>4</v>
      </c>
      <c r="AG29" t="s">
        <v>85</v>
      </c>
      <c r="AH29" t="s">
        <v>5</v>
      </c>
      <c r="AJ29" t="s">
        <v>84</v>
      </c>
      <c r="AK29">
        <v>70</v>
      </c>
      <c r="AL29">
        <v>115.71</v>
      </c>
      <c r="AM29">
        <v>8</v>
      </c>
      <c r="AN29" t="s">
        <v>85</v>
      </c>
      <c r="AO29" t="s">
        <v>5</v>
      </c>
      <c r="AQ29" t="s">
        <v>84</v>
      </c>
      <c r="AR29">
        <v>65</v>
      </c>
      <c r="AS29">
        <v>101.5</v>
      </c>
      <c r="AT29">
        <v>1</v>
      </c>
      <c r="AU29" t="s">
        <v>85</v>
      </c>
      <c r="AV29" t="s">
        <v>6</v>
      </c>
      <c r="AX29" t="s">
        <v>84</v>
      </c>
      <c r="AY29">
        <v>94</v>
      </c>
      <c r="AZ29">
        <v>110.04</v>
      </c>
      <c r="BA29">
        <v>2</v>
      </c>
      <c r="BB29" t="s">
        <v>85</v>
      </c>
      <c r="BC29" t="s">
        <v>6</v>
      </c>
      <c r="BE29" t="s">
        <v>84</v>
      </c>
      <c r="BF29">
        <v>75</v>
      </c>
      <c r="BG29">
        <v>153.82</v>
      </c>
      <c r="BH29">
        <v>3</v>
      </c>
      <c r="BI29" t="s">
        <v>85</v>
      </c>
      <c r="BJ29" t="s">
        <v>6</v>
      </c>
      <c r="BL29" t="s">
        <v>84</v>
      </c>
      <c r="BM29">
        <v>3</v>
      </c>
      <c r="BN29">
        <v>94.48</v>
      </c>
      <c r="BO29">
        <v>4</v>
      </c>
      <c r="BP29" t="s">
        <v>85</v>
      </c>
      <c r="BQ29" t="s">
        <v>4</v>
      </c>
      <c r="BS29" t="s">
        <v>84</v>
      </c>
      <c r="BT29">
        <v>17</v>
      </c>
      <c r="BU29">
        <v>91.04</v>
      </c>
      <c r="BV29">
        <v>8</v>
      </c>
      <c r="BW29" t="s">
        <v>85</v>
      </c>
      <c r="BX29" t="s">
        <v>4</v>
      </c>
    </row>
    <row r="30" spans="1:83" x14ac:dyDescent="0.25">
      <c r="A30" t="s">
        <v>84</v>
      </c>
      <c r="B30">
        <v>29</v>
      </c>
      <c r="C30">
        <v>114.19</v>
      </c>
      <c r="D30">
        <v>2</v>
      </c>
      <c r="E30" t="s">
        <v>85</v>
      </c>
      <c r="F30" t="s">
        <v>3</v>
      </c>
      <c r="H30" t="s">
        <v>84</v>
      </c>
      <c r="I30">
        <v>35</v>
      </c>
      <c r="J30">
        <v>141.06</v>
      </c>
      <c r="K30">
        <v>4</v>
      </c>
      <c r="L30" t="s">
        <v>85</v>
      </c>
      <c r="M30" t="s">
        <v>3</v>
      </c>
      <c r="O30" t="s">
        <v>84</v>
      </c>
      <c r="P30">
        <v>41</v>
      </c>
      <c r="Q30">
        <v>117</v>
      </c>
      <c r="R30">
        <v>8</v>
      </c>
      <c r="S30" t="s">
        <v>85</v>
      </c>
      <c r="T30" t="s">
        <v>3</v>
      </c>
      <c r="V30" t="s">
        <v>84</v>
      </c>
      <c r="W30">
        <v>43</v>
      </c>
      <c r="X30">
        <v>100.59</v>
      </c>
      <c r="Y30">
        <v>2</v>
      </c>
      <c r="Z30" t="s">
        <v>85</v>
      </c>
      <c r="AA30" t="s">
        <v>5</v>
      </c>
      <c r="AC30" t="s">
        <v>84</v>
      </c>
      <c r="AD30">
        <v>57</v>
      </c>
      <c r="AE30">
        <v>97.7</v>
      </c>
      <c r="AF30">
        <v>4</v>
      </c>
      <c r="AG30" t="s">
        <v>85</v>
      </c>
      <c r="AH30" t="s">
        <v>5</v>
      </c>
      <c r="AJ30" t="s">
        <v>84</v>
      </c>
      <c r="AK30">
        <v>71</v>
      </c>
      <c r="AL30">
        <v>131.77000000000001</v>
      </c>
      <c r="AM30">
        <v>8</v>
      </c>
      <c r="AN30" t="s">
        <v>85</v>
      </c>
      <c r="AO30" t="s">
        <v>5</v>
      </c>
      <c r="AQ30" t="s">
        <v>84</v>
      </c>
      <c r="AR30">
        <v>66</v>
      </c>
      <c r="AS30">
        <v>115.06</v>
      </c>
      <c r="AT30">
        <v>1</v>
      </c>
      <c r="AU30" t="s">
        <v>85</v>
      </c>
      <c r="AV30" t="s">
        <v>6</v>
      </c>
      <c r="AX30" t="s">
        <v>84</v>
      </c>
      <c r="AY30">
        <v>95</v>
      </c>
      <c r="AZ30">
        <v>100.4</v>
      </c>
      <c r="BA30">
        <v>2</v>
      </c>
      <c r="BB30" t="s">
        <v>85</v>
      </c>
      <c r="BC30" t="s">
        <v>6</v>
      </c>
      <c r="BE30" t="s">
        <v>84</v>
      </c>
      <c r="BF30">
        <v>77</v>
      </c>
      <c r="BG30">
        <v>153.82</v>
      </c>
      <c r="BH30">
        <v>3</v>
      </c>
      <c r="BI30" t="s">
        <v>85</v>
      </c>
      <c r="BJ30" t="s">
        <v>6</v>
      </c>
      <c r="BL30" t="s">
        <v>84</v>
      </c>
      <c r="BM30">
        <v>4</v>
      </c>
      <c r="BN30">
        <v>91.37</v>
      </c>
      <c r="BO30">
        <v>4</v>
      </c>
      <c r="BP30" t="s">
        <v>85</v>
      </c>
      <c r="BQ30" t="s">
        <v>4</v>
      </c>
      <c r="BS30" t="s">
        <v>84</v>
      </c>
      <c r="BT30">
        <v>18</v>
      </c>
      <c r="BU30">
        <v>92.38</v>
      </c>
      <c r="BV30">
        <v>8</v>
      </c>
      <c r="BW30" t="s">
        <v>85</v>
      </c>
      <c r="BX30" t="s">
        <v>4</v>
      </c>
    </row>
    <row r="31" spans="1:83" x14ac:dyDescent="0.25">
      <c r="A31" t="s">
        <v>84</v>
      </c>
      <c r="B31">
        <v>30</v>
      </c>
      <c r="C31">
        <v>139.47</v>
      </c>
      <c r="D31">
        <v>2</v>
      </c>
      <c r="E31" t="s">
        <v>85</v>
      </c>
      <c r="F31" t="s">
        <v>3</v>
      </c>
      <c r="H31" t="s">
        <v>84</v>
      </c>
      <c r="I31">
        <v>36</v>
      </c>
      <c r="J31">
        <v>115.69</v>
      </c>
      <c r="K31">
        <v>4</v>
      </c>
      <c r="L31" t="s">
        <v>85</v>
      </c>
      <c r="M31" t="s">
        <v>3</v>
      </c>
      <c r="O31" t="s">
        <v>84</v>
      </c>
      <c r="P31">
        <v>42</v>
      </c>
      <c r="Q31">
        <v>106.64</v>
      </c>
      <c r="R31">
        <v>8</v>
      </c>
      <c r="S31" t="s">
        <v>85</v>
      </c>
      <c r="T31" t="s">
        <v>3</v>
      </c>
      <c r="V31" t="s">
        <v>84</v>
      </c>
      <c r="W31">
        <v>44</v>
      </c>
      <c r="X31">
        <v>98.79</v>
      </c>
      <c r="Y31">
        <v>2</v>
      </c>
      <c r="Z31" t="s">
        <v>85</v>
      </c>
      <c r="AA31" t="s">
        <v>5</v>
      </c>
      <c r="AC31" t="s">
        <v>84</v>
      </c>
      <c r="AD31">
        <v>58</v>
      </c>
      <c r="AE31">
        <v>99.62</v>
      </c>
      <c r="AF31">
        <v>4</v>
      </c>
      <c r="AG31" t="s">
        <v>85</v>
      </c>
      <c r="AH31" t="s">
        <v>5</v>
      </c>
      <c r="AJ31" t="s">
        <v>84</v>
      </c>
      <c r="AK31">
        <v>72</v>
      </c>
      <c r="AL31">
        <v>152</v>
      </c>
      <c r="AM31">
        <v>8</v>
      </c>
      <c r="AN31" t="s">
        <v>85</v>
      </c>
      <c r="AO31" t="s">
        <v>5</v>
      </c>
      <c r="AQ31" t="s">
        <v>84</v>
      </c>
      <c r="AR31">
        <v>67</v>
      </c>
      <c r="AS31">
        <v>125.5</v>
      </c>
      <c r="AT31">
        <v>1</v>
      </c>
      <c r="AU31" t="s">
        <v>85</v>
      </c>
      <c r="AV31" t="s">
        <v>6</v>
      </c>
      <c r="AX31" t="s">
        <v>84</v>
      </c>
      <c r="AY31">
        <v>96</v>
      </c>
      <c r="AZ31">
        <v>99.88</v>
      </c>
      <c r="BA31">
        <v>2</v>
      </c>
      <c r="BB31" t="s">
        <v>85</v>
      </c>
      <c r="BC31" t="s">
        <v>6</v>
      </c>
      <c r="BE31" t="s">
        <v>84</v>
      </c>
      <c r="BF31">
        <v>78</v>
      </c>
      <c r="BG31">
        <v>156.07</v>
      </c>
      <c r="BH31">
        <v>3</v>
      </c>
      <c r="BI31" t="s">
        <v>85</v>
      </c>
      <c r="BJ31" t="s">
        <v>6</v>
      </c>
      <c r="BL31" t="s">
        <v>84</v>
      </c>
      <c r="BM31">
        <v>5</v>
      </c>
      <c r="BN31">
        <v>94.48</v>
      </c>
      <c r="BO31">
        <v>4</v>
      </c>
      <c r="BP31" t="s">
        <v>85</v>
      </c>
      <c r="BQ31" t="s">
        <v>4</v>
      </c>
      <c r="BS31" t="s">
        <v>84</v>
      </c>
      <c r="BT31">
        <v>19</v>
      </c>
      <c r="BU31">
        <v>95.48</v>
      </c>
      <c r="BV31">
        <v>8</v>
      </c>
      <c r="BW31" t="s">
        <v>85</v>
      </c>
      <c r="BX31" t="s">
        <v>4</v>
      </c>
    </row>
    <row r="32" spans="1:83" x14ac:dyDescent="0.25">
      <c r="A32" t="s">
        <v>84</v>
      </c>
      <c r="B32">
        <v>31</v>
      </c>
      <c r="C32">
        <v>166.09</v>
      </c>
      <c r="D32">
        <v>2</v>
      </c>
      <c r="E32" t="s">
        <v>85</v>
      </c>
      <c r="F32" t="s">
        <v>3</v>
      </c>
      <c r="H32" t="s">
        <v>84</v>
      </c>
      <c r="I32">
        <v>37</v>
      </c>
      <c r="J32">
        <v>146</v>
      </c>
      <c r="K32">
        <v>4</v>
      </c>
      <c r="L32" t="s">
        <v>85</v>
      </c>
      <c r="M32" t="s">
        <v>3</v>
      </c>
      <c r="O32" t="s">
        <v>84</v>
      </c>
      <c r="P32">
        <v>43</v>
      </c>
      <c r="Q32">
        <v>91.09</v>
      </c>
      <c r="R32">
        <v>8</v>
      </c>
      <c r="S32" t="s">
        <v>85</v>
      </c>
      <c r="T32" t="s">
        <v>3</v>
      </c>
      <c r="V32" t="s">
        <v>84</v>
      </c>
      <c r="W32">
        <v>45</v>
      </c>
      <c r="X32">
        <v>102.61</v>
      </c>
      <c r="Y32">
        <v>2</v>
      </c>
      <c r="Z32" t="s">
        <v>85</v>
      </c>
      <c r="AA32" t="s">
        <v>5</v>
      </c>
      <c r="AC32" t="s">
        <v>84</v>
      </c>
      <c r="AD32">
        <v>59</v>
      </c>
      <c r="AE32">
        <v>102</v>
      </c>
      <c r="AF32">
        <v>4</v>
      </c>
      <c r="AG32" t="s">
        <v>85</v>
      </c>
      <c r="AH32" t="s">
        <v>5</v>
      </c>
      <c r="AJ32" t="s">
        <v>84</v>
      </c>
      <c r="AK32">
        <v>73</v>
      </c>
      <c r="AL32">
        <v>124.86</v>
      </c>
      <c r="AM32">
        <v>8</v>
      </c>
      <c r="AN32" t="s">
        <v>85</v>
      </c>
      <c r="AO32" t="s">
        <v>5</v>
      </c>
      <c r="AQ32" t="s">
        <v>84</v>
      </c>
      <c r="AR32">
        <v>68</v>
      </c>
      <c r="AS32">
        <v>135.04</v>
      </c>
      <c r="AT32">
        <v>1</v>
      </c>
      <c r="AU32" t="s">
        <v>85</v>
      </c>
      <c r="AV32" t="s">
        <v>6</v>
      </c>
      <c r="AX32" t="s">
        <v>84</v>
      </c>
      <c r="AY32">
        <v>1</v>
      </c>
      <c r="AZ32">
        <v>106.59</v>
      </c>
      <c r="BA32">
        <v>4</v>
      </c>
      <c r="BB32" t="s">
        <v>85</v>
      </c>
      <c r="BC32" t="s">
        <v>6</v>
      </c>
      <c r="BE32" t="s">
        <v>84</v>
      </c>
      <c r="BF32">
        <v>79</v>
      </c>
      <c r="BG32">
        <v>203</v>
      </c>
      <c r="BH32">
        <v>3</v>
      </c>
      <c r="BI32" t="s">
        <v>85</v>
      </c>
      <c r="BJ32" t="s">
        <v>6</v>
      </c>
      <c r="BL32" t="s">
        <v>84</v>
      </c>
      <c r="BM32">
        <v>6</v>
      </c>
      <c r="BN32">
        <v>94.48</v>
      </c>
      <c r="BO32">
        <v>4</v>
      </c>
      <c r="BP32" t="s">
        <v>85</v>
      </c>
      <c r="BQ32" t="s">
        <v>4</v>
      </c>
      <c r="BS32" t="s">
        <v>84</v>
      </c>
      <c r="BT32">
        <v>20</v>
      </c>
      <c r="BU32">
        <v>82.61</v>
      </c>
      <c r="BV32">
        <v>8</v>
      </c>
      <c r="BW32" t="s">
        <v>85</v>
      </c>
      <c r="BX32" t="s">
        <v>4</v>
      </c>
    </row>
    <row r="33" spans="1:76" x14ac:dyDescent="0.25">
      <c r="A33" t="s">
        <v>84</v>
      </c>
      <c r="B33">
        <v>32</v>
      </c>
      <c r="C33">
        <v>166.5</v>
      </c>
      <c r="D33">
        <v>2</v>
      </c>
      <c r="E33" t="s">
        <v>85</v>
      </c>
      <c r="F33" t="s">
        <v>3</v>
      </c>
      <c r="H33" t="s">
        <v>84</v>
      </c>
      <c r="I33">
        <v>38</v>
      </c>
      <c r="J33">
        <v>122</v>
      </c>
      <c r="K33">
        <v>4</v>
      </c>
      <c r="L33" t="s">
        <v>85</v>
      </c>
      <c r="M33" t="s">
        <v>3</v>
      </c>
      <c r="O33" t="s">
        <v>84</v>
      </c>
      <c r="P33">
        <v>44</v>
      </c>
      <c r="Q33">
        <v>89.29</v>
      </c>
      <c r="R33">
        <v>8</v>
      </c>
      <c r="S33" t="s">
        <v>85</v>
      </c>
      <c r="T33" t="s">
        <v>3</v>
      </c>
      <c r="V33" t="s">
        <v>84</v>
      </c>
      <c r="W33">
        <v>46</v>
      </c>
      <c r="X33">
        <v>98.98</v>
      </c>
      <c r="Y33">
        <v>2</v>
      </c>
      <c r="Z33" t="s">
        <v>85</v>
      </c>
      <c r="AA33" t="s">
        <v>5</v>
      </c>
      <c r="AC33" t="s">
        <v>84</v>
      </c>
      <c r="AD33">
        <v>60</v>
      </c>
      <c r="AE33">
        <v>101.22</v>
      </c>
      <c r="AF33">
        <v>4</v>
      </c>
      <c r="AG33" t="s">
        <v>85</v>
      </c>
      <c r="AH33" t="s">
        <v>5</v>
      </c>
      <c r="AJ33" t="s">
        <v>84</v>
      </c>
      <c r="AK33">
        <v>74</v>
      </c>
      <c r="AL33">
        <v>123.57</v>
      </c>
      <c r="AM33">
        <v>8</v>
      </c>
      <c r="AN33" t="s">
        <v>85</v>
      </c>
      <c r="AO33" t="s">
        <v>5</v>
      </c>
      <c r="AQ33" t="s">
        <v>84</v>
      </c>
      <c r="AR33">
        <v>69</v>
      </c>
      <c r="AS33">
        <v>112.78</v>
      </c>
      <c r="AT33">
        <v>1</v>
      </c>
      <c r="AU33" t="s">
        <v>85</v>
      </c>
      <c r="AV33" t="s">
        <v>6</v>
      </c>
      <c r="AX33" t="s">
        <v>84</v>
      </c>
      <c r="AY33">
        <v>2</v>
      </c>
      <c r="AZ33">
        <v>95.43</v>
      </c>
      <c r="BA33">
        <v>4</v>
      </c>
      <c r="BB33" t="s">
        <v>85</v>
      </c>
      <c r="BC33" t="s">
        <v>6</v>
      </c>
      <c r="BE33" t="s">
        <v>84</v>
      </c>
      <c r="BF33">
        <v>80</v>
      </c>
      <c r="BG33">
        <v>203</v>
      </c>
      <c r="BH33">
        <v>3</v>
      </c>
      <c r="BI33" t="s">
        <v>85</v>
      </c>
      <c r="BJ33" t="s">
        <v>6</v>
      </c>
      <c r="BL33" t="s">
        <v>84</v>
      </c>
      <c r="BM33">
        <v>7</v>
      </c>
      <c r="BN33">
        <v>100.48</v>
      </c>
      <c r="BO33">
        <v>4</v>
      </c>
      <c r="BP33" t="s">
        <v>85</v>
      </c>
      <c r="BQ33" t="s">
        <v>4</v>
      </c>
      <c r="BS33" t="s">
        <v>84</v>
      </c>
      <c r="BT33">
        <v>21</v>
      </c>
      <c r="BU33">
        <v>81.14</v>
      </c>
      <c r="BV33">
        <v>8</v>
      </c>
      <c r="BW33" t="s">
        <v>85</v>
      </c>
      <c r="BX33" t="s">
        <v>4</v>
      </c>
    </row>
    <row r="34" spans="1:76" x14ac:dyDescent="0.25">
      <c r="A34" t="s">
        <v>84</v>
      </c>
      <c r="B34">
        <v>33</v>
      </c>
      <c r="C34">
        <v>168.6</v>
      </c>
      <c r="D34">
        <v>2</v>
      </c>
      <c r="E34" t="s">
        <v>85</v>
      </c>
      <c r="F34" t="s">
        <v>3</v>
      </c>
      <c r="H34" t="s">
        <v>84</v>
      </c>
      <c r="I34">
        <v>39</v>
      </c>
      <c r="J34">
        <v>114.43</v>
      </c>
      <c r="K34">
        <v>4</v>
      </c>
      <c r="L34" t="s">
        <v>85</v>
      </c>
      <c r="M34" t="s">
        <v>3</v>
      </c>
      <c r="O34" t="s">
        <v>84</v>
      </c>
      <c r="P34">
        <v>45</v>
      </c>
      <c r="Q34">
        <v>93.11</v>
      </c>
      <c r="R34">
        <v>8</v>
      </c>
      <c r="S34" t="s">
        <v>85</v>
      </c>
      <c r="T34" t="s">
        <v>3</v>
      </c>
      <c r="V34" t="s">
        <v>84</v>
      </c>
      <c r="W34">
        <v>47</v>
      </c>
      <c r="X34">
        <v>95.35</v>
      </c>
      <c r="Y34">
        <v>2</v>
      </c>
      <c r="Z34" t="s">
        <v>85</v>
      </c>
      <c r="AA34" t="s">
        <v>5</v>
      </c>
      <c r="AC34" t="s">
        <v>84</v>
      </c>
      <c r="AD34">
        <v>61</v>
      </c>
      <c r="AE34">
        <v>95.78</v>
      </c>
      <c r="AF34">
        <v>4</v>
      </c>
      <c r="AG34" t="s">
        <v>85</v>
      </c>
      <c r="AH34" t="s">
        <v>5</v>
      </c>
      <c r="AJ34" t="s">
        <v>84</v>
      </c>
      <c r="AK34">
        <v>76</v>
      </c>
      <c r="AL34">
        <v>165.07</v>
      </c>
      <c r="AM34">
        <v>8</v>
      </c>
      <c r="AN34" t="s">
        <v>85</v>
      </c>
      <c r="AO34" t="s">
        <v>5</v>
      </c>
      <c r="AQ34" t="s">
        <v>84</v>
      </c>
      <c r="AR34">
        <v>70</v>
      </c>
      <c r="AS34">
        <v>125.21</v>
      </c>
      <c r="AT34">
        <v>1</v>
      </c>
      <c r="AU34" t="s">
        <v>85</v>
      </c>
      <c r="AV34" t="s">
        <v>6</v>
      </c>
      <c r="AX34" t="s">
        <v>84</v>
      </c>
      <c r="AY34">
        <v>3</v>
      </c>
      <c r="AZ34">
        <v>89.48</v>
      </c>
      <c r="BA34">
        <v>4</v>
      </c>
      <c r="BB34" t="s">
        <v>85</v>
      </c>
      <c r="BC34" t="s">
        <v>6</v>
      </c>
      <c r="BE34" t="s">
        <v>84</v>
      </c>
      <c r="BF34">
        <v>81</v>
      </c>
      <c r="BG34">
        <v>203</v>
      </c>
      <c r="BH34">
        <v>3</v>
      </c>
      <c r="BI34" t="s">
        <v>85</v>
      </c>
      <c r="BJ34" t="s">
        <v>6</v>
      </c>
      <c r="BL34" t="s">
        <v>84</v>
      </c>
      <c r="BM34">
        <v>8</v>
      </c>
      <c r="BN34">
        <v>100.48</v>
      </c>
      <c r="BO34">
        <v>4</v>
      </c>
      <c r="BP34" t="s">
        <v>85</v>
      </c>
      <c r="BQ34" t="s">
        <v>4</v>
      </c>
      <c r="BS34" t="s">
        <v>84</v>
      </c>
      <c r="BT34">
        <v>22</v>
      </c>
      <c r="BU34">
        <v>84.79</v>
      </c>
      <c r="BV34">
        <v>8</v>
      </c>
      <c r="BW34" t="s">
        <v>85</v>
      </c>
      <c r="BX34" t="s">
        <v>4</v>
      </c>
    </row>
    <row r="35" spans="1:76" x14ac:dyDescent="0.25">
      <c r="A35" t="s">
        <v>84</v>
      </c>
      <c r="B35">
        <v>34</v>
      </c>
      <c r="C35">
        <v>166.09</v>
      </c>
      <c r="D35">
        <v>2</v>
      </c>
      <c r="E35" t="s">
        <v>85</v>
      </c>
      <c r="F35" t="s">
        <v>3</v>
      </c>
      <c r="H35" t="s">
        <v>84</v>
      </c>
      <c r="I35">
        <v>40</v>
      </c>
      <c r="J35">
        <v>97.52</v>
      </c>
      <c r="K35">
        <v>4</v>
      </c>
      <c r="L35" t="s">
        <v>85</v>
      </c>
      <c r="M35" t="s">
        <v>3</v>
      </c>
      <c r="O35" t="s">
        <v>84</v>
      </c>
      <c r="P35">
        <v>46</v>
      </c>
      <c r="Q35">
        <v>89.48</v>
      </c>
      <c r="R35">
        <v>8</v>
      </c>
      <c r="S35" t="s">
        <v>85</v>
      </c>
      <c r="T35" t="s">
        <v>3</v>
      </c>
      <c r="V35" t="s">
        <v>84</v>
      </c>
      <c r="W35">
        <v>48</v>
      </c>
      <c r="X35">
        <v>105.48</v>
      </c>
      <c r="Y35">
        <v>2</v>
      </c>
      <c r="Z35" t="s">
        <v>85</v>
      </c>
      <c r="AA35" t="s">
        <v>5</v>
      </c>
      <c r="AC35" t="s">
        <v>84</v>
      </c>
      <c r="AD35">
        <v>62</v>
      </c>
      <c r="AE35">
        <v>95.81</v>
      </c>
      <c r="AF35">
        <v>4</v>
      </c>
      <c r="AG35" t="s">
        <v>85</v>
      </c>
      <c r="AH35" t="s">
        <v>5</v>
      </c>
      <c r="AJ35" t="s">
        <v>84</v>
      </c>
      <c r="AK35">
        <v>84</v>
      </c>
      <c r="AL35">
        <v>141.56</v>
      </c>
      <c r="AM35">
        <v>8</v>
      </c>
      <c r="AN35" t="s">
        <v>85</v>
      </c>
      <c r="AO35" t="s">
        <v>5</v>
      </c>
      <c r="AQ35" t="s">
        <v>84</v>
      </c>
      <c r="AR35">
        <v>71</v>
      </c>
      <c r="AS35">
        <v>141.27000000000001</v>
      </c>
      <c r="AT35">
        <v>1</v>
      </c>
      <c r="AU35" t="s">
        <v>85</v>
      </c>
      <c r="AV35" t="s">
        <v>6</v>
      </c>
      <c r="AX35" t="s">
        <v>84</v>
      </c>
      <c r="AY35">
        <v>4</v>
      </c>
      <c r="AZ35">
        <v>86.37</v>
      </c>
      <c r="BA35">
        <v>4</v>
      </c>
      <c r="BB35" t="s">
        <v>85</v>
      </c>
      <c r="BC35" t="s">
        <v>6</v>
      </c>
      <c r="BE35" t="s">
        <v>84</v>
      </c>
      <c r="BF35">
        <v>82</v>
      </c>
      <c r="BG35">
        <v>156.07</v>
      </c>
      <c r="BH35">
        <v>3</v>
      </c>
      <c r="BI35" t="s">
        <v>85</v>
      </c>
      <c r="BJ35" t="s">
        <v>6</v>
      </c>
      <c r="BL35" t="s">
        <v>84</v>
      </c>
      <c r="BM35">
        <v>9</v>
      </c>
      <c r="BN35">
        <v>100.48</v>
      </c>
      <c r="BO35">
        <v>4</v>
      </c>
      <c r="BP35" t="s">
        <v>85</v>
      </c>
      <c r="BQ35" t="s">
        <v>4</v>
      </c>
      <c r="BS35" t="s">
        <v>84</v>
      </c>
      <c r="BT35">
        <v>23</v>
      </c>
      <c r="BU35">
        <v>89</v>
      </c>
      <c r="BV35">
        <v>8</v>
      </c>
      <c r="BW35" t="s">
        <v>85</v>
      </c>
      <c r="BX35" t="s">
        <v>4</v>
      </c>
    </row>
    <row r="36" spans="1:76" x14ac:dyDescent="0.25">
      <c r="A36" t="s">
        <v>84</v>
      </c>
      <c r="B36">
        <v>35</v>
      </c>
      <c r="C36">
        <v>145.56</v>
      </c>
      <c r="D36">
        <v>2</v>
      </c>
      <c r="E36" t="s">
        <v>85</v>
      </c>
      <c r="F36" t="s">
        <v>3</v>
      </c>
      <c r="H36" t="s">
        <v>84</v>
      </c>
      <c r="I36">
        <v>41</v>
      </c>
      <c r="J36">
        <v>122</v>
      </c>
      <c r="K36">
        <v>4</v>
      </c>
      <c r="L36" t="s">
        <v>85</v>
      </c>
      <c r="M36" t="s">
        <v>3</v>
      </c>
      <c r="O36" t="s">
        <v>84</v>
      </c>
      <c r="P36">
        <v>47</v>
      </c>
      <c r="Q36">
        <v>85.85</v>
      </c>
      <c r="R36">
        <v>8</v>
      </c>
      <c r="S36" t="s">
        <v>85</v>
      </c>
      <c r="T36" t="s">
        <v>3</v>
      </c>
      <c r="V36" t="s">
        <v>84</v>
      </c>
      <c r="W36">
        <v>49</v>
      </c>
      <c r="X36">
        <v>105.99</v>
      </c>
      <c r="Y36">
        <v>2</v>
      </c>
      <c r="Z36" t="s">
        <v>85</v>
      </c>
      <c r="AA36" t="s">
        <v>5</v>
      </c>
      <c r="AC36" t="s">
        <v>84</v>
      </c>
      <c r="AD36">
        <v>63</v>
      </c>
      <c r="AE36">
        <v>100.81</v>
      </c>
      <c r="AF36">
        <v>4</v>
      </c>
      <c r="AG36" t="s">
        <v>85</v>
      </c>
      <c r="AH36" t="s">
        <v>5</v>
      </c>
      <c r="AJ36" t="s">
        <v>84</v>
      </c>
      <c r="AK36">
        <v>85</v>
      </c>
      <c r="AL36">
        <v>142.36000000000001</v>
      </c>
      <c r="AM36">
        <v>8</v>
      </c>
      <c r="AN36" t="s">
        <v>85</v>
      </c>
      <c r="AO36" t="s">
        <v>5</v>
      </c>
      <c r="AQ36" t="s">
        <v>84</v>
      </c>
      <c r="AR36">
        <v>72</v>
      </c>
      <c r="AS36">
        <v>161.5</v>
      </c>
      <c r="AT36">
        <v>1</v>
      </c>
      <c r="AU36" t="s">
        <v>85</v>
      </c>
      <c r="AV36" t="s">
        <v>6</v>
      </c>
      <c r="AX36" t="s">
        <v>84</v>
      </c>
      <c r="AY36">
        <v>5</v>
      </c>
      <c r="AZ36">
        <v>89.48</v>
      </c>
      <c r="BA36">
        <v>4</v>
      </c>
      <c r="BB36" t="s">
        <v>85</v>
      </c>
      <c r="BC36" t="s">
        <v>6</v>
      </c>
      <c r="BE36" t="s">
        <v>84</v>
      </c>
      <c r="BF36">
        <v>83</v>
      </c>
      <c r="BG36">
        <v>152.56</v>
      </c>
      <c r="BH36">
        <v>3</v>
      </c>
      <c r="BI36" t="s">
        <v>85</v>
      </c>
      <c r="BJ36" t="s">
        <v>6</v>
      </c>
      <c r="BL36" t="s">
        <v>84</v>
      </c>
      <c r="BM36">
        <v>10</v>
      </c>
      <c r="BN36">
        <v>100.48</v>
      </c>
      <c r="BO36">
        <v>4</v>
      </c>
      <c r="BP36" t="s">
        <v>85</v>
      </c>
      <c r="BQ36" t="s">
        <v>4</v>
      </c>
      <c r="BS36" t="s">
        <v>84</v>
      </c>
      <c r="BT36">
        <v>24</v>
      </c>
      <c r="BU36">
        <v>100.61</v>
      </c>
      <c r="BV36">
        <v>8</v>
      </c>
      <c r="BW36" t="s">
        <v>85</v>
      </c>
      <c r="BX36" t="s">
        <v>4</v>
      </c>
    </row>
    <row r="37" spans="1:76" x14ac:dyDescent="0.25">
      <c r="A37" t="s">
        <v>84</v>
      </c>
      <c r="B37">
        <v>36</v>
      </c>
      <c r="C37">
        <v>120.19</v>
      </c>
      <c r="D37">
        <v>2</v>
      </c>
      <c r="E37" t="s">
        <v>85</v>
      </c>
      <c r="F37" t="s">
        <v>3</v>
      </c>
      <c r="H37" t="s">
        <v>84</v>
      </c>
      <c r="I37">
        <v>42</v>
      </c>
      <c r="J37">
        <v>111.64</v>
      </c>
      <c r="K37">
        <v>4</v>
      </c>
      <c r="L37" t="s">
        <v>85</v>
      </c>
      <c r="M37" t="s">
        <v>3</v>
      </c>
      <c r="O37" t="s">
        <v>84</v>
      </c>
      <c r="P37">
        <v>48</v>
      </c>
      <c r="Q37">
        <v>95.98</v>
      </c>
      <c r="R37">
        <v>8</v>
      </c>
      <c r="S37" t="s">
        <v>85</v>
      </c>
      <c r="T37" t="s">
        <v>3</v>
      </c>
      <c r="V37" t="s">
        <v>84</v>
      </c>
      <c r="W37">
        <v>50</v>
      </c>
      <c r="X37">
        <v>104.47</v>
      </c>
      <c r="Y37">
        <v>2</v>
      </c>
      <c r="Z37" t="s">
        <v>85</v>
      </c>
      <c r="AA37" t="s">
        <v>5</v>
      </c>
      <c r="AC37" t="s">
        <v>84</v>
      </c>
      <c r="AD37">
        <v>64</v>
      </c>
      <c r="AE37">
        <v>101.99</v>
      </c>
      <c r="AF37">
        <v>4</v>
      </c>
      <c r="AG37" t="s">
        <v>85</v>
      </c>
      <c r="AH37" t="s">
        <v>5</v>
      </c>
      <c r="AJ37" t="s">
        <v>84</v>
      </c>
      <c r="AK37">
        <v>88</v>
      </c>
      <c r="AL37">
        <v>96</v>
      </c>
      <c r="AM37">
        <v>8</v>
      </c>
      <c r="AN37" t="s">
        <v>85</v>
      </c>
      <c r="AO37" t="s">
        <v>5</v>
      </c>
      <c r="AQ37" t="s">
        <v>84</v>
      </c>
      <c r="AR37">
        <v>73</v>
      </c>
      <c r="AS37">
        <v>134.36000000000001</v>
      </c>
      <c r="AT37">
        <v>1</v>
      </c>
      <c r="AU37" t="s">
        <v>85</v>
      </c>
      <c r="AV37" t="s">
        <v>6</v>
      </c>
      <c r="AX37" t="s">
        <v>84</v>
      </c>
      <c r="AY37">
        <v>6</v>
      </c>
      <c r="AZ37">
        <v>89.48</v>
      </c>
      <c r="BA37">
        <v>4</v>
      </c>
      <c r="BB37" t="s">
        <v>85</v>
      </c>
      <c r="BC37" t="s">
        <v>6</v>
      </c>
      <c r="BE37" t="s">
        <v>84</v>
      </c>
      <c r="BF37">
        <v>84</v>
      </c>
      <c r="BG37">
        <v>152.56</v>
      </c>
      <c r="BH37">
        <v>3</v>
      </c>
      <c r="BI37" t="s">
        <v>85</v>
      </c>
      <c r="BJ37" t="s">
        <v>6</v>
      </c>
      <c r="BL37" t="s">
        <v>84</v>
      </c>
      <c r="BM37">
        <v>11</v>
      </c>
      <c r="BN37">
        <v>100.48</v>
      </c>
      <c r="BO37">
        <v>4</v>
      </c>
      <c r="BP37" t="s">
        <v>85</v>
      </c>
      <c r="BQ37" t="s">
        <v>4</v>
      </c>
      <c r="BS37" t="s">
        <v>84</v>
      </c>
      <c r="BT37">
        <v>25</v>
      </c>
      <c r="BU37">
        <v>86.58</v>
      </c>
      <c r="BV37">
        <v>8</v>
      </c>
      <c r="BW37" t="s">
        <v>85</v>
      </c>
      <c r="BX37" t="s">
        <v>4</v>
      </c>
    </row>
    <row r="38" spans="1:76" x14ac:dyDescent="0.25">
      <c r="A38" t="s">
        <v>84</v>
      </c>
      <c r="B38">
        <v>37</v>
      </c>
      <c r="C38">
        <v>150.5</v>
      </c>
      <c r="D38">
        <v>2</v>
      </c>
      <c r="E38" t="s">
        <v>85</v>
      </c>
      <c r="F38" t="s">
        <v>3</v>
      </c>
      <c r="H38" t="s">
        <v>84</v>
      </c>
      <c r="I38">
        <v>43</v>
      </c>
      <c r="J38">
        <v>96.09</v>
      </c>
      <c r="K38">
        <v>4</v>
      </c>
      <c r="L38" t="s">
        <v>85</v>
      </c>
      <c r="M38" t="s">
        <v>3</v>
      </c>
      <c r="O38" t="s">
        <v>84</v>
      </c>
      <c r="P38">
        <v>49</v>
      </c>
      <c r="Q38">
        <v>96.49</v>
      </c>
      <c r="R38">
        <v>8</v>
      </c>
      <c r="S38" t="s">
        <v>85</v>
      </c>
      <c r="T38" t="s">
        <v>3</v>
      </c>
      <c r="V38" t="s">
        <v>84</v>
      </c>
      <c r="W38">
        <v>51</v>
      </c>
      <c r="X38">
        <v>95.47</v>
      </c>
      <c r="Y38">
        <v>2</v>
      </c>
      <c r="Z38" t="s">
        <v>85</v>
      </c>
      <c r="AA38" t="s">
        <v>5</v>
      </c>
      <c r="AC38" t="s">
        <v>84</v>
      </c>
      <c r="AD38">
        <v>65</v>
      </c>
      <c r="AE38">
        <v>97</v>
      </c>
      <c r="AF38">
        <v>4</v>
      </c>
      <c r="AG38" t="s">
        <v>85</v>
      </c>
      <c r="AH38" t="s">
        <v>5</v>
      </c>
      <c r="AJ38" t="s">
        <v>84</v>
      </c>
      <c r="AK38">
        <v>89</v>
      </c>
      <c r="AL38">
        <v>122</v>
      </c>
      <c r="AM38">
        <v>8</v>
      </c>
      <c r="AN38" t="s">
        <v>85</v>
      </c>
      <c r="AO38" t="s">
        <v>5</v>
      </c>
      <c r="AQ38" t="s">
        <v>84</v>
      </c>
      <c r="AR38">
        <v>74</v>
      </c>
      <c r="AS38">
        <v>152.06</v>
      </c>
      <c r="AT38">
        <v>1</v>
      </c>
      <c r="AU38" t="s">
        <v>85</v>
      </c>
      <c r="AV38" t="s">
        <v>6</v>
      </c>
      <c r="AX38" t="s">
        <v>84</v>
      </c>
      <c r="AY38">
        <v>7</v>
      </c>
      <c r="AZ38">
        <v>95.48</v>
      </c>
      <c r="BA38">
        <v>4</v>
      </c>
      <c r="BB38" t="s">
        <v>85</v>
      </c>
      <c r="BC38" t="s">
        <v>6</v>
      </c>
      <c r="BE38" t="s">
        <v>84</v>
      </c>
      <c r="BF38">
        <v>86</v>
      </c>
      <c r="BG38">
        <v>153.82</v>
      </c>
      <c r="BH38">
        <v>3</v>
      </c>
      <c r="BI38" t="s">
        <v>85</v>
      </c>
      <c r="BJ38" t="s">
        <v>6</v>
      </c>
      <c r="BL38" t="s">
        <v>84</v>
      </c>
      <c r="BM38">
        <v>12</v>
      </c>
      <c r="BN38">
        <v>100.48</v>
      </c>
      <c r="BO38">
        <v>4</v>
      </c>
      <c r="BP38" t="s">
        <v>85</v>
      </c>
      <c r="BQ38" t="s">
        <v>4</v>
      </c>
      <c r="BS38" t="s">
        <v>84</v>
      </c>
      <c r="BT38">
        <v>26</v>
      </c>
      <c r="BU38">
        <v>99.67</v>
      </c>
      <c r="BV38">
        <v>8</v>
      </c>
      <c r="BW38" t="s">
        <v>85</v>
      </c>
      <c r="BX38" t="s">
        <v>4</v>
      </c>
    </row>
    <row r="39" spans="1:76" x14ac:dyDescent="0.25">
      <c r="A39" t="s">
        <v>84</v>
      </c>
      <c r="B39">
        <v>38</v>
      </c>
      <c r="C39">
        <v>126.5</v>
      </c>
      <c r="D39">
        <v>2</v>
      </c>
      <c r="E39" t="s">
        <v>85</v>
      </c>
      <c r="F39" t="s">
        <v>3</v>
      </c>
      <c r="H39" t="s">
        <v>84</v>
      </c>
      <c r="I39">
        <v>44</v>
      </c>
      <c r="J39">
        <v>94.29</v>
      </c>
      <c r="K39">
        <v>4</v>
      </c>
      <c r="L39" t="s">
        <v>85</v>
      </c>
      <c r="M39" t="s">
        <v>3</v>
      </c>
      <c r="O39" t="s">
        <v>84</v>
      </c>
      <c r="P39">
        <v>50</v>
      </c>
      <c r="Q39">
        <v>94.97</v>
      </c>
      <c r="R39">
        <v>8</v>
      </c>
      <c r="S39" t="s">
        <v>85</v>
      </c>
      <c r="T39" t="s">
        <v>3</v>
      </c>
      <c r="V39" t="s">
        <v>84</v>
      </c>
      <c r="W39">
        <v>52</v>
      </c>
      <c r="X39">
        <v>95.47</v>
      </c>
      <c r="Y39">
        <v>2</v>
      </c>
      <c r="Z39" t="s">
        <v>85</v>
      </c>
      <c r="AA39" t="s">
        <v>5</v>
      </c>
      <c r="AC39" t="s">
        <v>84</v>
      </c>
      <c r="AD39">
        <v>66</v>
      </c>
      <c r="AE39">
        <v>110.56</v>
      </c>
      <c r="AF39">
        <v>4</v>
      </c>
      <c r="AG39" t="s">
        <v>85</v>
      </c>
      <c r="AH39" t="s">
        <v>5</v>
      </c>
      <c r="AJ39" t="s">
        <v>84</v>
      </c>
      <c r="AK39">
        <v>90</v>
      </c>
      <c r="AL39">
        <v>115.75</v>
      </c>
      <c r="AM39">
        <v>8</v>
      </c>
      <c r="AN39" t="s">
        <v>85</v>
      </c>
      <c r="AO39" t="s">
        <v>5</v>
      </c>
      <c r="AQ39" t="s">
        <v>84</v>
      </c>
      <c r="AR39">
        <v>76</v>
      </c>
      <c r="AS39">
        <v>174.57</v>
      </c>
      <c r="AT39">
        <v>1</v>
      </c>
      <c r="AU39" t="s">
        <v>85</v>
      </c>
      <c r="AV39" t="s">
        <v>6</v>
      </c>
      <c r="AX39" t="s">
        <v>84</v>
      </c>
      <c r="AY39">
        <v>8</v>
      </c>
      <c r="AZ39">
        <v>95.48</v>
      </c>
      <c r="BA39">
        <v>4</v>
      </c>
      <c r="BB39" t="s">
        <v>85</v>
      </c>
      <c r="BC39" t="s">
        <v>6</v>
      </c>
      <c r="BE39" t="s">
        <v>84</v>
      </c>
      <c r="BF39">
        <v>87</v>
      </c>
      <c r="BG39">
        <v>152.56</v>
      </c>
      <c r="BH39">
        <v>3</v>
      </c>
      <c r="BI39" t="s">
        <v>85</v>
      </c>
      <c r="BJ39" t="s">
        <v>6</v>
      </c>
      <c r="BL39" t="s">
        <v>84</v>
      </c>
      <c r="BM39">
        <v>13</v>
      </c>
      <c r="BN39">
        <v>100.9</v>
      </c>
      <c r="BO39">
        <v>4</v>
      </c>
      <c r="BP39" t="s">
        <v>85</v>
      </c>
      <c r="BQ39" t="s">
        <v>4</v>
      </c>
      <c r="BS39" t="s">
        <v>84</v>
      </c>
      <c r="BT39">
        <v>27</v>
      </c>
      <c r="BU39">
        <v>115.46</v>
      </c>
      <c r="BV39">
        <v>8</v>
      </c>
      <c r="BW39" t="s">
        <v>85</v>
      </c>
      <c r="BX39" t="s">
        <v>4</v>
      </c>
    </row>
    <row r="40" spans="1:76" x14ac:dyDescent="0.25">
      <c r="A40" t="s">
        <v>84</v>
      </c>
      <c r="B40">
        <v>39</v>
      </c>
      <c r="C40">
        <v>118.93</v>
      </c>
      <c r="D40">
        <v>2</v>
      </c>
      <c r="E40" t="s">
        <v>85</v>
      </c>
      <c r="F40" t="s">
        <v>3</v>
      </c>
      <c r="H40" t="s">
        <v>84</v>
      </c>
      <c r="I40">
        <v>45</v>
      </c>
      <c r="J40">
        <v>98.11</v>
      </c>
      <c r="K40">
        <v>4</v>
      </c>
      <c r="L40" t="s">
        <v>85</v>
      </c>
      <c r="M40" t="s">
        <v>3</v>
      </c>
      <c r="O40" t="s">
        <v>84</v>
      </c>
      <c r="P40">
        <v>51</v>
      </c>
      <c r="Q40">
        <v>85.97</v>
      </c>
      <c r="R40">
        <v>8</v>
      </c>
      <c r="S40" t="s">
        <v>85</v>
      </c>
      <c r="T40" t="s">
        <v>3</v>
      </c>
      <c r="V40" t="s">
        <v>84</v>
      </c>
      <c r="W40">
        <v>53</v>
      </c>
      <c r="X40">
        <v>95.95</v>
      </c>
      <c r="Y40">
        <v>2</v>
      </c>
      <c r="Z40" t="s">
        <v>85</v>
      </c>
      <c r="AA40" t="s">
        <v>5</v>
      </c>
      <c r="AC40" t="s">
        <v>84</v>
      </c>
      <c r="AD40">
        <v>67</v>
      </c>
      <c r="AE40">
        <v>122.69</v>
      </c>
      <c r="AF40">
        <v>4</v>
      </c>
      <c r="AG40" t="s">
        <v>85</v>
      </c>
      <c r="AH40" t="s">
        <v>5</v>
      </c>
      <c r="AJ40" t="s">
        <v>84</v>
      </c>
      <c r="AK40">
        <v>91</v>
      </c>
      <c r="AL40">
        <v>102.9</v>
      </c>
      <c r="AM40">
        <v>8</v>
      </c>
      <c r="AN40" t="s">
        <v>85</v>
      </c>
      <c r="AO40" t="s">
        <v>5</v>
      </c>
      <c r="AQ40" t="s">
        <v>84</v>
      </c>
      <c r="AR40">
        <v>85</v>
      </c>
      <c r="AS40">
        <v>166.09</v>
      </c>
      <c r="AT40">
        <v>1</v>
      </c>
      <c r="AU40" t="s">
        <v>85</v>
      </c>
      <c r="AV40" t="s">
        <v>6</v>
      </c>
      <c r="AX40" t="s">
        <v>84</v>
      </c>
      <c r="AY40">
        <v>9</v>
      </c>
      <c r="AZ40">
        <v>95.48</v>
      </c>
      <c r="BA40">
        <v>4</v>
      </c>
      <c r="BB40" t="s">
        <v>85</v>
      </c>
      <c r="BC40" t="s">
        <v>6</v>
      </c>
      <c r="BE40" t="s">
        <v>84</v>
      </c>
      <c r="BF40">
        <v>88</v>
      </c>
      <c r="BG40">
        <v>126.56</v>
      </c>
      <c r="BH40">
        <v>3</v>
      </c>
      <c r="BI40" t="s">
        <v>85</v>
      </c>
      <c r="BJ40" t="s">
        <v>6</v>
      </c>
      <c r="BL40" t="s">
        <v>84</v>
      </c>
      <c r="BM40">
        <v>14</v>
      </c>
      <c r="BN40">
        <v>102</v>
      </c>
      <c r="BO40">
        <v>4</v>
      </c>
      <c r="BP40" t="s">
        <v>85</v>
      </c>
      <c r="BQ40" t="s">
        <v>4</v>
      </c>
      <c r="BS40" t="s">
        <v>84</v>
      </c>
      <c r="BT40">
        <v>28</v>
      </c>
      <c r="BU40">
        <v>128.78</v>
      </c>
      <c r="BV40">
        <v>8</v>
      </c>
      <c r="BW40" t="s">
        <v>85</v>
      </c>
      <c r="BX40" t="s">
        <v>4</v>
      </c>
    </row>
    <row r="41" spans="1:76" x14ac:dyDescent="0.25">
      <c r="A41" t="s">
        <v>84</v>
      </c>
      <c r="B41">
        <v>40</v>
      </c>
      <c r="C41">
        <v>102.02</v>
      </c>
      <c r="D41">
        <v>2</v>
      </c>
      <c r="E41" t="s">
        <v>85</v>
      </c>
      <c r="F41" t="s">
        <v>3</v>
      </c>
      <c r="H41" t="s">
        <v>84</v>
      </c>
      <c r="I41">
        <v>46</v>
      </c>
      <c r="J41">
        <v>94.48</v>
      </c>
      <c r="K41">
        <v>4</v>
      </c>
      <c r="L41" t="s">
        <v>85</v>
      </c>
      <c r="M41" t="s">
        <v>3</v>
      </c>
      <c r="O41" t="s">
        <v>84</v>
      </c>
      <c r="P41">
        <v>52</v>
      </c>
      <c r="Q41">
        <v>85.97</v>
      </c>
      <c r="R41">
        <v>8</v>
      </c>
      <c r="S41" t="s">
        <v>85</v>
      </c>
      <c r="T41" t="s">
        <v>3</v>
      </c>
      <c r="V41" t="s">
        <v>84</v>
      </c>
      <c r="W41">
        <v>54</v>
      </c>
      <c r="X41">
        <v>97.58</v>
      </c>
      <c r="Y41">
        <v>2</v>
      </c>
      <c r="Z41" t="s">
        <v>85</v>
      </c>
      <c r="AA41" t="s">
        <v>5</v>
      </c>
      <c r="AC41" t="s">
        <v>84</v>
      </c>
      <c r="AD41">
        <v>68</v>
      </c>
      <c r="AE41">
        <v>135</v>
      </c>
      <c r="AF41">
        <v>4</v>
      </c>
      <c r="AG41" t="s">
        <v>85</v>
      </c>
      <c r="AH41" t="s">
        <v>5</v>
      </c>
      <c r="AJ41" t="s">
        <v>84</v>
      </c>
      <c r="AK41">
        <v>92</v>
      </c>
      <c r="AL41">
        <v>95.34</v>
      </c>
      <c r="AM41">
        <v>8</v>
      </c>
      <c r="AN41" t="s">
        <v>85</v>
      </c>
      <c r="AO41" t="s">
        <v>5</v>
      </c>
      <c r="AQ41" t="s">
        <v>84</v>
      </c>
      <c r="AR41">
        <v>89</v>
      </c>
      <c r="AS41">
        <v>131.5</v>
      </c>
      <c r="AT41">
        <v>1</v>
      </c>
      <c r="AU41" t="s">
        <v>85</v>
      </c>
      <c r="AV41" t="s">
        <v>6</v>
      </c>
      <c r="AX41" t="s">
        <v>84</v>
      </c>
      <c r="AY41">
        <v>10</v>
      </c>
      <c r="AZ41">
        <v>95.48</v>
      </c>
      <c r="BA41">
        <v>4</v>
      </c>
      <c r="BB41" t="s">
        <v>85</v>
      </c>
      <c r="BC41" t="s">
        <v>6</v>
      </c>
      <c r="BE41" t="s">
        <v>84</v>
      </c>
      <c r="BF41">
        <v>1</v>
      </c>
      <c r="BG41">
        <v>116.09</v>
      </c>
      <c r="BH41">
        <v>2</v>
      </c>
      <c r="BI41" t="s">
        <v>85</v>
      </c>
      <c r="BJ41" t="s">
        <v>4</v>
      </c>
      <c r="BL41" t="s">
        <v>84</v>
      </c>
      <c r="BM41">
        <v>15</v>
      </c>
      <c r="BN41">
        <v>102</v>
      </c>
      <c r="BO41">
        <v>4</v>
      </c>
      <c r="BP41" t="s">
        <v>85</v>
      </c>
      <c r="BQ41" t="s">
        <v>4</v>
      </c>
      <c r="BS41" t="s">
        <v>84</v>
      </c>
      <c r="BT41">
        <v>29</v>
      </c>
      <c r="BU41">
        <v>104.69</v>
      </c>
      <c r="BV41">
        <v>8</v>
      </c>
      <c r="BW41" t="s">
        <v>85</v>
      </c>
      <c r="BX41" t="s">
        <v>4</v>
      </c>
    </row>
    <row r="42" spans="1:76" x14ac:dyDescent="0.25">
      <c r="A42" t="s">
        <v>84</v>
      </c>
      <c r="B42">
        <v>41</v>
      </c>
      <c r="C42">
        <v>126.5</v>
      </c>
      <c r="D42">
        <v>2</v>
      </c>
      <c r="E42" t="s">
        <v>85</v>
      </c>
      <c r="F42" t="s">
        <v>3</v>
      </c>
      <c r="H42" t="s">
        <v>84</v>
      </c>
      <c r="I42">
        <v>47</v>
      </c>
      <c r="J42">
        <v>90.85</v>
      </c>
      <c r="K42">
        <v>4</v>
      </c>
      <c r="L42" t="s">
        <v>85</v>
      </c>
      <c r="M42" t="s">
        <v>3</v>
      </c>
      <c r="O42" t="s">
        <v>84</v>
      </c>
      <c r="P42">
        <v>53</v>
      </c>
      <c r="Q42">
        <v>86.45</v>
      </c>
      <c r="R42">
        <v>8</v>
      </c>
      <c r="S42" t="s">
        <v>85</v>
      </c>
      <c r="T42" t="s">
        <v>3</v>
      </c>
      <c r="V42" t="s">
        <v>84</v>
      </c>
      <c r="W42">
        <v>55</v>
      </c>
      <c r="X42">
        <v>99.07</v>
      </c>
      <c r="Y42">
        <v>2</v>
      </c>
      <c r="Z42" t="s">
        <v>85</v>
      </c>
      <c r="AA42" t="s">
        <v>5</v>
      </c>
      <c r="AC42" t="s">
        <v>84</v>
      </c>
      <c r="AD42">
        <v>69</v>
      </c>
      <c r="AE42">
        <v>108.28</v>
      </c>
      <c r="AF42">
        <v>4</v>
      </c>
      <c r="AG42" t="s">
        <v>85</v>
      </c>
      <c r="AH42" t="s">
        <v>5</v>
      </c>
      <c r="AJ42" t="s">
        <v>84</v>
      </c>
      <c r="AK42">
        <v>93</v>
      </c>
      <c r="AL42">
        <v>111.28</v>
      </c>
      <c r="AM42">
        <v>8</v>
      </c>
      <c r="AN42" t="s">
        <v>85</v>
      </c>
      <c r="AO42" t="s">
        <v>5</v>
      </c>
      <c r="AQ42" t="s">
        <v>84</v>
      </c>
      <c r="AR42">
        <v>90</v>
      </c>
      <c r="AS42">
        <v>125.25</v>
      </c>
      <c r="AT42">
        <v>1</v>
      </c>
      <c r="AU42" t="s">
        <v>85</v>
      </c>
      <c r="AV42" t="s">
        <v>6</v>
      </c>
      <c r="AX42" t="s">
        <v>84</v>
      </c>
      <c r="AY42">
        <v>11</v>
      </c>
      <c r="AZ42">
        <v>95.48</v>
      </c>
      <c r="BA42">
        <v>4</v>
      </c>
      <c r="BB42" t="s">
        <v>85</v>
      </c>
      <c r="BC42" t="s">
        <v>6</v>
      </c>
      <c r="BE42" t="s">
        <v>84</v>
      </c>
      <c r="BF42">
        <v>2</v>
      </c>
      <c r="BG42">
        <v>104.93</v>
      </c>
      <c r="BH42">
        <v>2</v>
      </c>
      <c r="BI42" t="s">
        <v>85</v>
      </c>
      <c r="BJ42" t="s">
        <v>4</v>
      </c>
      <c r="BL42" t="s">
        <v>84</v>
      </c>
      <c r="BM42">
        <v>16</v>
      </c>
      <c r="BN42">
        <v>102.43</v>
      </c>
      <c r="BO42">
        <v>4</v>
      </c>
      <c r="BP42" t="s">
        <v>85</v>
      </c>
      <c r="BQ42" t="s">
        <v>4</v>
      </c>
      <c r="BS42" t="s">
        <v>84</v>
      </c>
      <c r="BT42">
        <v>30</v>
      </c>
      <c r="BU42">
        <v>129.97</v>
      </c>
      <c r="BV42">
        <v>8</v>
      </c>
      <c r="BW42" t="s">
        <v>85</v>
      </c>
      <c r="BX42" t="s">
        <v>4</v>
      </c>
    </row>
    <row r="43" spans="1:76" x14ac:dyDescent="0.25">
      <c r="A43" t="s">
        <v>84</v>
      </c>
      <c r="B43">
        <v>42</v>
      </c>
      <c r="C43">
        <v>116.14</v>
      </c>
      <c r="D43">
        <v>2</v>
      </c>
      <c r="E43" t="s">
        <v>85</v>
      </c>
      <c r="F43" t="s">
        <v>3</v>
      </c>
      <c r="H43" t="s">
        <v>84</v>
      </c>
      <c r="I43">
        <v>48</v>
      </c>
      <c r="J43">
        <v>100.98</v>
      </c>
      <c r="K43">
        <v>4</v>
      </c>
      <c r="L43" t="s">
        <v>85</v>
      </c>
      <c r="M43" t="s">
        <v>3</v>
      </c>
      <c r="O43" t="s">
        <v>84</v>
      </c>
      <c r="P43">
        <v>54</v>
      </c>
      <c r="Q43">
        <v>88.08</v>
      </c>
      <c r="R43">
        <v>8</v>
      </c>
      <c r="S43" t="s">
        <v>85</v>
      </c>
      <c r="T43" t="s">
        <v>3</v>
      </c>
      <c r="V43" t="s">
        <v>84</v>
      </c>
      <c r="W43">
        <v>56</v>
      </c>
      <c r="X43">
        <v>101.5</v>
      </c>
      <c r="Y43">
        <v>2</v>
      </c>
      <c r="Z43" t="s">
        <v>85</v>
      </c>
      <c r="AA43" t="s">
        <v>5</v>
      </c>
      <c r="AC43" t="s">
        <v>84</v>
      </c>
      <c r="AD43">
        <v>70</v>
      </c>
      <c r="AE43">
        <v>120.71</v>
      </c>
      <c r="AF43">
        <v>4</v>
      </c>
      <c r="AG43" t="s">
        <v>85</v>
      </c>
      <c r="AH43" t="s">
        <v>5</v>
      </c>
      <c r="AJ43" t="s">
        <v>84</v>
      </c>
      <c r="AK43">
        <v>94</v>
      </c>
      <c r="AL43">
        <v>105.04</v>
      </c>
      <c r="AM43">
        <v>8</v>
      </c>
      <c r="AN43" t="s">
        <v>85</v>
      </c>
      <c r="AO43" t="s">
        <v>5</v>
      </c>
      <c r="AQ43" t="s">
        <v>84</v>
      </c>
      <c r="AR43">
        <v>91</v>
      </c>
      <c r="AS43">
        <v>121.15</v>
      </c>
      <c r="AT43">
        <v>1</v>
      </c>
      <c r="AU43" t="s">
        <v>85</v>
      </c>
      <c r="AV43" t="s">
        <v>6</v>
      </c>
      <c r="AX43" t="s">
        <v>84</v>
      </c>
      <c r="AY43">
        <v>12</v>
      </c>
      <c r="AZ43">
        <v>95.48</v>
      </c>
      <c r="BA43">
        <v>4</v>
      </c>
      <c r="BB43" t="s">
        <v>85</v>
      </c>
      <c r="BC43" t="s">
        <v>6</v>
      </c>
      <c r="BE43" t="s">
        <v>84</v>
      </c>
      <c r="BF43">
        <v>3</v>
      </c>
      <c r="BG43">
        <v>98.98</v>
      </c>
      <c r="BH43">
        <v>2</v>
      </c>
      <c r="BI43" t="s">
        <v>85</v>
      </c>
      <c r="BJ43" t="s">
        <v>4</v>
      </c>
      <c r="BL43" t="s">
        <v>84</v>
      </c>
      <c r="BM43">
        <v>17</v>
      </c>
      <c r="BN43">
        <v>96.04</v>
      </c>
      <c r="BO43">
        <v>4</v>
      </c>
      <c r="BP43" t="s">
        <v>85</v>
      </c>
      <c r="BQ43" t="s">
        <v>4</v>
      </c>
      <c r="BS43" t="s">
        <v>84</v>
      </c>
      <c r="BT43">
        <v>31</v>
      </c>
      <c r="BU43">
        <v>156.59</v>
      </c>
      <c r="BV43">
        <v>8</v>
      </c>
      <c r="BW43" t="s">
        <v>85</v>
      </c>
      <c r="BX43" t="s">
        <v>4</v>
      </c>
    </row>
    <row r="44" spans="1:76" x14ac:dyDescent="0.25">
      <c r="A44" t="s">
        <v>84</v>
      </c>
      <c r="B44">
        <v>43</v>
      </c>
      <c r="C44">
        <v>100.59</v>
      </c>
      <c r="D44">
        <v>2</v>
      </c>
      <c r="E44" t="s">
        <v>85</v>
      </c>
      <c r="F44" t="s">
        <v>3</v>
      </c>
      <c r="H44" t="s">
        <v>84</v>
      </c>
      <c r="I44">
        <v>49</v>
      </c>
      <c r="J44">
        <v>101.49</v>
      </c>
      <c r="K44">
        <v>4</v>
      </c>
      <c r="L44" t="s">
        <v>85</v>
      </c>
      <c r="M44" t="s">
        <v>3</v>
      </c>
      <c r="O44" t="s">
        <v>84</v>
      </c>
      <c r="P44">
        <v>55</v>
      </c>
      <c r="Q44">
        <v>89.57</v>
      </c>
      <c r="R44">
        <v>8</v>
      </c>
      <c r="S44" t="s">
        <v>85</v>
      </c>
      <c r="T44" t="s">
        <v>3</v>
      </c>
      <c r="V44" t="s">
        <v>84</v>
      </c>
      <c r="W44">
        <v>57</v>
      </c>
      <c r="X44">
        <v>102.2</v>
      </c>
      <c r="Y44">
        <v>2</v>
      </c>
      <c r="Z44" t="s">
        <v>85</v>
      </c>
      <c r="AA44" t="s">
        <v>5</v>
      </c>
      <c r="AC44" t="s">
        <v>84</v>
      </c>
      <c r="AD44">
        <v>71</v>
      </c>
      <c r="AE44">
        <v>136.77000000000001</v>
      </c>
      <c r="AF44">
        <v>4</v>
      </c>
      <c r="AG44" t="s">
        <v>85</v>
      </c>
      <c r="AH44" t="s">
        <v>5</v>
      </c>
      <c r="AJ44" t="s">
        <v>84</v>
      </c>
      <c r="AK44">
        <v>95</v>
      </c>
      <c r="AL44">
        <v>95.4</v>
      </c>
      <c r="AM44">
        <v>8</v>
      </c>
      <c r="AN44" t="s">
        <v>85</v>
      </c>
      <c r="AO44" t="s">
        <v>5</v>
      </c>
      <c r="AQ44" t="s">
        <v>84</v>
      </c>
      <c r="AR44">
        <v>92</v>
      </c>
      <c r="AS44">
        <v>121.15</v>
      </c>
      <c r="AT44">
        <v>1</v>
      </c>
      <c r="AU44" t="s">
        <v>85</v>
      </c>
      <c r="AV44" t="s">
        <v>6</v>
      </c>
      <c r="AX44" t="s">
        <v>84</v>
      </c>
      <c r="AY44">
        <v>13</v>
      </c>
      <c r="AZ44">
        <v>95.9</v>
      </c>
      <c r="BA44">
        <v>4</v>
      </c>
      <c r="BB44" t="s">
        <v>85</v>
      </c>
      <c r="BC44" t="s">
        <v>6</v>
      </c>
      <c r="BE44" t="s">
        <v>84</v>
      </c>
      <c r="BF44">
        <v>4</v>
      </c>
      <c r="BG44">
        <v>95.87</v>
      </c>
      <c r="BH44">
        <v>2</v>
      </c>
      <c r="BI44" t="s">
        <v>85</v>
      </c>
      <c r="BJ44" t="s">
        <v>4</v>
      </c>
      <c r="BL44" t="s">
        <v>84</v>
      </c>
      <c r="BM44">
        <v>18</v>
      </c>
      <c r="BN44">
        <v>97.38</v>
      </c>
      <c r="BO44">
        <v>4</v>
      </c>
      <c r="BP44" t="s">
        <v>85</v>
      </c>
      <c r="BQ44" t="s">
        <v>4</v>
      </c>
      <c r="BS44" t="s">
        <v>84</v>
      </c>
      <c r="BT44">
        <v>32</v>
      </c>
      <c r="BU44">
        <v>157</v>
      </c>
      <c r="BV44">
        <v>8</v>
      </c>
      <c r="BW44" t="s">
        <v>85</v>
      </c>
      <c r="BX44" t="s">
        <v>4</v>
      </c>
    </row>
    <row r="45" spans="1:76" x14ac:dyDescent="0.25">
      <c r="A45" t="s">
        <v>84</v>
      </c>
      <c r="B45">
        <v>44</v>
      </c>
      <c r="C45">
        <v>98.79</v>
      </c>
      <c r="D45">
        <v>2</v>
      </c>
      <c r="E45" t="s">
        <v>85</v>
      </c>
      <c r="F45" t="s">
        <v>3</v>
      </c>
      <c r="H45" t="s">
        <v>84</v>
      </c>
      <c r="I45">
        <v>50</v>
      </c>
      <c r="J45">
        <v>99.97</v>
      </c>
      <c r="K45">
        <v>4</v>
      </c>
      <c r="L45" t="s">
        <v>85</v>
      </c>
      <c r="M45" t="s">
        <v>3</v>
      </c>
      <c r="O45" t="s">
        <v>84</v>
      </c>
      <c r="P45">
        <v>56</v>
      </c>
      <c r="Q45">
        <v>92</v>
      </c>
      <c r="R45">
        <v>8</v>
      </c>
      <c r="S45" t="s">
        <v>85</v>
      </c>
      <c r="T45" t="s">
        <v>3</v>
      </c>
      <c r="V45" t="s">
        <v>84</v>
      </c>
      <c r="W45">
        <v>58</v>
      </c>
      <c r="X45">
        <v>104.12</v>
      </c>
      <c r="Y45">
        <v>2</v>
      </c>
      <c r="Z45" t="s">
        <v>85</v>
      </c>
      <c r="AA45" t="s">
        <v>5</v>
      </c>
      <c r="AC45" t="s">
        <v>84</v>
      </c>
      <c r="AD45">
        <v>72</v>
      </c>
      <c r="AE45">
        <v>157</v>
      </c>
      <c r="AF45">
        <v>4</v>
      </c>
      <c r="AG45" t="s">
        <v>85</v>
      </c>
      <c r="AH45" t="s">
        <v>5</v>
      </c>
      <c r="AJ45" t="s">
        <v>84</v>
      </c>
      <c r="AK45">
        <v>96</v>
      </c>
      <c r="AL45">
        <v>94.88</v>
      </c>
      <c r="AM45">
        <v>8</v>
      </c>
      <c r="AN45" t="s">
        <v>85</v>
      </c>
      <c r="AO45" t="s">
        <v>5</v>
      </c>
      <c r="AQ45" t="s">
        <v>84</v>
      </c>
      <c r="AR45">
        <v>93</v>
      </c>
      <c r="AS45">
        <v>120.78</v>
      </c>
      <c r="AT45">
        <v>1</v>
      </c>
      <c r="AU45" t="s">
        <v>85</v>
      </c>
      <c r="AV45" t="s">
        <v>6</v>
      </c>
      <c r="AX45" t="s">
        <v>84</v>
      </c>
      <c r="AY45">
        <v>14</v>
      </c>
      <c r="AZ45">
        <v>97</v>
      </c>
      <c r="BA45">
        <v>4</v>
      </c>
      <c r="BB45" t="s">
        <v>85</v>
      </c>
      <c r="BC45" t="s">
        <v>6</v>
      </c>
      <c r="BE45" t="s">
        <v>84</v>
      </c>
      <c r="BF45">
        <v>5</v>
      </c>
      <c r="BG45">
        <v>98.98</v>
      </c>
      <c r="BH45">
        <v>2</v>
      </c>
      <c r="BI45" t="s">
        <v>85</v>
      </c>
      <c r="BJ45" t="s">
        <v>4</v>
      </c>
      <c r="BL45" t="s">
        <v>84</v>
      </c>
      <c r="BM45">
        <v>19</v>
      </c>
      <c r="BN45">
        <v>100.48</v>
      </c>
      <c r="BO45">
        <v>4</v>
      </c>
      <c r="BP45" t="s">
        <v>85</v>
      </c>
      <c r="BQ45" t="s">
        <v>4</v>
      </c>
      <c r="BS45" t="s">
        <v>84</v>
      </c>
      <c r="BT45">
        <v>33</v>
      </c>
      <c r="BU45">
        <v>159.1</v>
      </c>
      <c r="BV45">
        <v>8</v>
      </c>
      <c r="BW45" t="s">
        <v>85</v>
      </c>
      <c r="BX45" t="s">
        <v>4</v>
      </c>
    </row>
    <row r="46" spans="1:76" x14ac:dyDescent="0.25">
      <c r="A46" t="s">
        <v>84</v>
      </c>
      <c r="B46">
        <v>45</v>
      </c>
      <c r="C46">
        <v>102.61</v>
      </c>
      <c r="D46">
        <v>2</v>
      </c>
      <c r="E46" t="s">
        <v>85</v>
      </c>
      <c r="F46" t="s">
        <v>3</v>
      </c>
      <c r="H46" t="s">
        <v>84</v>
      </c>
      <c r="I46">
        <v>51</v>
      </c>
      <c r="J46">
        <v>90.97</v>
      </c>
      <c r="K46">
        <v>4</v>
      </c>
      <c r="L46" t="s">
        <v>85</v>
      </c>
      <c r="M46" t="s">
        <v>3</v>
      </c>
      <c r="O46" t="s">
        <v>84</v>
      </c>
      <c r="P46">
        <v>57</v>
      </c>
      <c r="Q46">
        <v>92.7</v>
      </c>
      <c r="R46">
        <v>8</v>
      </c>
      <c r="S46" t="s">
        <v>85</v>
      </c>
      <c r="T46" t="s">
        <v>3</v>
      </c>
      <c r="V46" t="s">
        <v>84</v>
      </c>
      <c r="W46">
        <v>59</v>
      </c>
      <c r="X46">
        <v>106.5</v>
      </c>
      <c r="Y46">
        <v>2</v>
      </c>
      <c r="Z46" t="s">
        <v>85</v>
      </c>
      <c r="AA46" t="s">
        <v>5</v>
      </c>
      <c r="AC46" t="s">
        <v>84</v>
      </c>
      <c r="AD46">
        <v>73</v>
      </c>
      <c r="AE46">
        <v>129.86000000000001</v>
      </c>
      <c r="AF46">
        <v>4</v>
      </c>
      <c r="AG46" t="s">
        <v>85</v>
      </c>
      <c r="AH46" t="s">
        <v>5</v>
      </c>
      <c r="AJ46" t="s">
        <v>84</v>
      </c>
      <c r="AK46">
        <v>75</v>
      </c>
      <c r="AL46">
        <v>158.07</v>
      </c>
      <c r="AM46">
        <v>8</v>
      </c>
      <c r="AN46" t="s">
        <v>85</v>
      </c>
      <c r="AO46" t="s">
        <v>5</v>
      </c>
      <c r="AQ46" t="s">
        <v>84</v>
      </c>
      <c r="AR46">
        <v>94</v>
      </c>
      <c r="AS46">
        <v>114.54</v>
      </c>
      <c r="AT46">
        <v>1</v>
      </c>
      <c r="AU46" t="s">
        <v>85</v>
      </c>
      <c r="AV46" t="s">
        <v>6</v>
      </c>
      <c r="AX46" t="s">
        <v>84</v>
      </c>
      <c r="AY46">
        <v>15</v>
      </c>
      <c r="AZ46">
        <v>97</v>
      </c>
      <c r="BA46">
        <v>4</v>
      </c>
      <c r="BB46" t="s">
        <v>85</v>
      </c>
      <c r="BC46" t="s">
        <v>6</v>
      </c>
      <c r="BE46" t="s">
        <v>84</v>
      </c>
      <c r="BF46">
        <v>6</v>
      </c>
      <c r="BG46">
        <v>98.98</v>
      </c>
      <c r="BH46">
        <v>2</v>
      </c>
      <c r="BI46" t="s">
        <v>85</v>
      </c>
      <c r="BJ46" t="s">
        <v>4</v>
      </c>
      <c r="BL46" t="s">
        <v>84</v>
      </c>
      <c r="BM46">
        <v>20</v>
      </c>
      <c r="BN46">
        <v>87.61</v>
      </c>
      <c r="BO46">
        <v>4</v>
      </c>
      <c r="BP46" t="s">
        <v>85</v>
      </c>
      <c r="BQ46" t="s">
        <v>4</v>
      </c>
      <c r="BS46" t="s">
        <v>84</v>
      </c>
      <c r="BT46">
        <v>34</v>
      </c>
      <c r="BU46">
        <v>156.59</v>
      </c>
      <c r="BV46">
        <v>8</v>
      </c>
      <c r="BW46" t="s">
        <v>85</v>
      </c>
      <c r="BX46" t="s">
        <v>4</v>
      </c>
    </row>
    <row r="47" spans="1:76" x14ac:dyDescent="0.25">
      <c r="A47" t="s">
        <v>84</v>
      </c>
      <c r="B47">
        <v>46</v>
      </c>
      <c r="C47">
        <v>98.98</v>
      </c>
      <c r="D47">
        <v>2</v>
      </c>
      <c r="E47" t="s">
        <v>85</v>
      </c>
      <c r="F47" t="s">
        <v>3</v>
      </c>
      <c r="H47" t="s">
        <v>84</v>
      </c>
      <c r="I47">
        <v>52</v>
      </c>
      <c r="J47">
        <v>90.97</v>
      </c>
      <c r="K47">
        <v>4</v>
      </c>
      <c r="L47" t="s">
        <v>85</v>
      </c>
      <c r="M47" t="s">
        <v>3</v>
      </c>
      <c r="O47" t="s">
        <v>84</v>
      </c>
      <c r="P47">
        <v>58</v>
      </c>
      <c r="Q47">
        <v>94.62</v>
      </c>
      <c r="R47">
        <v>8</v>
      </c>
      <c r="S47" t="s">
        <v>85</v>
      </c>
      <c r="T47" t="s">
        <v>3</v>
      </c>
      <c r="V47" t="s">
        <v>84</v>
      </c>
      <c r="W47">
        <v>60</v>
      </c>
      <c r="X47">
        <v>105.72</v>
      </c>
      <c r="Y47">
        <v>2</v>
      </c>
      <c r="Z47" t="s">
        <v>85</v>
      </c>
      <c r="AA47" t="s">
        <v>5</v>
      </c>
      <c r="AC47" t="s">
        <v>84</v>
      </c>
      <c r="AD47">
        <v>74</v>
      </c>
      <c r="AE47">
        <v>128.57</v>
      </c>
      <c r="AF47">
        <v>4</v>
      </c>
      <c r="AG47" t="s">
        <v>85</v>
      </c>
      <c r="AH47" t="s">
        <v>5</v>
      </c>
      <c r="AJ47" t="s">
        <v>84</v>
      </c>
      <c r="AK47">
        <v>77</v>
      </c>
      <c r="AL47">
        <v>158.07</v>
      </c>
      <c r="AM47">
        <v>8</v>
      </c>
      <c r="AN47" t="s">
        <v>85</v>
      </c>
      <c r="AO47" t="s">
        <v>5</v>
      </c>
      <c r="AQ47" t="s">
        <v>84</v>
      </c>
      <c r="AR47">
        <v>95</v>
      </c>
      <c r="AS47">
        <v>104.9</v>
      </c>
      <c r="AT47">
        <v>1</v>
      </c>
      <c r="AU47" t="s">
        <v>85</v>
      </c>
      <c r="AV47" t="s">
        <v>6</v>
      </c>
      <c r="AX47" t="s">
        <v>84</v>
      </c>
      <c r="AY47">
        <v>16</v>
      </c>
      <c r="AZ47">
        <v>97.43</v>
      </c>
      <c r="BA47">
        <v>4</v>
      </c>
      <c r="BB47" t="s">
        <v>85</v>
      </c>
      <c r="BC47" t="s">
        <v>6</v>
      </c>
      <c r="BE47" t="s">
        <v>84</v>
      </c>
      <c r="BF47">
        <v>7</v>
      </c>
      <c r="BG47">
        <v>104.98</v>
      </c>
      <c r="BH47">
        <v>2</v>
      </c>
      <c r="BI47" t="s">
        <v>85</v>
      </c>
      <c r="BJ47" t="s">
        <v>4</v>
      </c>
      <c r="BL47" t="s">
        <v>84</v>
      </c>
      <c r="BM47">
        <v>21</v>
      </c>
      <c r="BN47">
        <v>86.14</v>
      </c>
      <c r="BO47">
        <v>4</v>
      </c>
      <c r="BP47" t="s">
        <v>85</v>
      </c>
      <c r="BQ47" t="s">
        <v>4</v>
      </c>
      <c r="BS47" t="s">
        <v>84</v>
      </c>
      <c r="BT47">
        <v>35</v>
      </c>
      <c r="BU47">
        <v>136.06</v>
      </c>
      <c r="BV47">
        <v>8</v>
      </c>
      <c r="BW47" t="s">
        <v>85</v>
      </c>
      <c r="BX47" t="s">
        <v>4</v>
      </c>
    </row>
    <row r="48" spans="1:76" x14ac:dyDescent="0.25">
      <c r="A48" t="s">
        <v>84</v>
      </c>
      <c r="B48">
        <v>47</v>
      </c>
      <c r="C48">
        <v>95.35</v>
      </c>
      <c r="D48">
        <v>2</v>
      </c>
      <c r="E48" t="s">
        <v>85</v>
      </c>
      <c r="F48" t="s">
        <v>3</v>
      </c>
      <c r="H48" t="s">
        <v>84</v>
      </c>
      <c r="I48">
        <v>53</v>
      </c>
      <c r="J48">
        <v>91.45</v>
      </c>
      <c r="K48">
        <v>4</v>
      </c>
      <c r="L48" t="s">
        <v>85</v>
      </c>
      <c r="M48" t="s">
        <v>3</v>
      </c>
      <c r="O48" t="s">
        <v>84</v>
      </c>
      <c r="P48">
        <v>59</v>
      </c>
      <c r="Q48">
        <v>97</v>
      </c>
      <c r="R48">
        <v>8</v>
      </c>
      <c r="S48" t="s">
        <v>85</v>
      </c>
      <c r="T48" t="s">
        <v>3</v>
      </c>
      <c r="V48" t="s">
        <v>84</v>
      </c>
      <c r="W48">
        <v>61</v>
      </c>
      <c r="X48">
        <v>100.28</v>
      </c>
      <c r="Y48">
        <v>2</v>
      </c>
      <c r="Z48" t="s">
        <v>85</v>
      </c>
      <c r="AA48" t="s">
        <v>5</v>
      </c>
      <c r="AC48" t="s">
        <v>84</v>
      </c>
      <c r="AD48">
        <v>76</v>
      </c>
      <c r="AE48">
        <v>170.07</v>
      </c>
      <c r="AF48">
        <v>4</v>
      </c>
      <c r="AG48" t="s">
        <v>85</v>
      </c>
      <c r="AH48" t="s">
        <v>5</v>
      </c>
      <c r="AJ48" t="s">
        <v>84</v>
      </c>
      <c r="AK48">
        <v>78</v>
      </c>
      <c r="AL48">
        <v>160.32</v>
      </c>
      <c r="AM48">
        <v>8</v>
      </c>
      <c r="AN48" t="s">
        <v>85</v>
      </c>
      <c r="AO48" t="s">
        <v>5</v>
      </c>
      <c r="AQ48" t="s">
        <v>84</v>
      </c>
      <c r="AR48">
        <v>96</v>
      </c>
      <c r="AS48">
        <v>104.38</v>
      </c>
      <c r="AT48">
        <v>1</v>
      </c>
      <c r="AU48" t="s">
        <v>85</v>
      </c>
      <c r="AV48" t="s">
        <v>6</v>
      </c>
      <c r="AX48" t="s">
        <v>84</v>
      </c>
      <c r="AY48">
        <v>17</v>
      </c>
      <c r="AZ48">
        <v>91.04</v>
      </c>
      <c r="BA48">
        <v>4</v>
      </c>
      <c r="BB48" t="s">
        <v>85</v>
      </c>
      <c r="BC48" t="s">
        <v>6</v>
      </c>
      <c r="BE48" t="s">
        <v>84</v>
      </c>
      <c r="BF48">
        <v>8</v>
      </c>
      <c r="BG48">
        <v>104.98</v>
      </c>
      <c r="BH48">
        <v>2</v>
      </c>
      <c r="BI48" t="s">
        <v>85</v>
      </c>
      <c r="BJ48" t="s">
        <v>4</v>
      </c>
      <c r="BL48" t="s">
        <v>84</v>
      </c>
      <c r="BM48">
        <v>22</v>
      </c>
      <c r="BN48">
        <v>89.79</v>
      </c>
      <c r="BO48">
        <v>4</v>
      </c>
      <c r="BP48" t="s">
        <v>85</v>
      </c>
      <c r="BQ48" t="s">
        <v>4</v>
      </c>
      <c r="BS48" t="s">
        <v>84</v>
      </c>
      <c r="BT48">
        <v>36</v>
      </c>
      <c r="BU48">
        <v>110.69</v>
      </c>
      <c r="BV48">
        <v>8</v>
      </c>
      <c r="BW48" t="s">
        <v>85</v>
      </c>
      <c r="BX48" t="s">
        <v>4</v>
      </c>
    </row>
    <row r="49" spans="1:76" x14ac:dyDescent="0.25">
      <c r="A49" t="s">
        <v>84</v>
      </c>
      <c r="B49">
        <v>48</v>
      </c>
      <c r="C49">
        <v>105.48</v>
      </c>
      <c r="D49">
        <v>2</v>
      </c>
      <c r="E49" t="s">
        <v>85</v>
      </c>
      <c r="F49" t="s">
        <v>3</v>
      </c>
      <c r="H49" t="s">
        <v>84</v>
      </c>
      <c r="I49">
        <v>54</v>
      </c>
      <c r="J49">
        <v>93.08</v>
      </c>
      <c r="K49">
        <v>4</v>
      </c>
      <c r="L49" t="s">
        <v>85</v>
      </c>
      <c r="M49" t="s">
        <v>3</v>
      </c>
      <c r="O49" t="s">
        <v>84</v>
      </c>
      <c r="P49">
        <v>60</v>
      </c>
      <c r="Q49">
        <v>96.22</v>
      </c>
      <c r="R49">
        <v>8</v>
      </c>
      <c r="S49" t="s">
        <v>85</v>
      </c>
      <c r="T49" t="s">
        <v>3</v>
      </c>
      <c r="V49" t="s">
        <v>84</v>
      </c>
      <c r="W49">
        <v>62</v>
      </c>
      <c r="X49">
        <v>100.31</v>
      </c>
      <c r="Y49">
        <v>2</v>
      </c>
      <c r="Z49" t="s">
        <v>85</v>
      </c>
      <c r="AA49" t="s">
        <v>5</v>
      </c>
      <c r="AC49" t="s">
        <v>84</v>
      </c>
      <c r="AD49">
        <v>84</v>
      </c>
      <c r="AE49">
        <v>146.56</v>
      </c>
      <c r="AF49">
        <v>4</v>
      </c>
      <c r="AG49" t="s">
        <v>85</v>
      </c>
      <c r="AH49" t="s">
        <v>5</v>
      </c>
      <c r="AJ49" t="s">
        <v>84</v>
      </c>
      <c r="AK49">
        <v>79</v>
      </c>
      <c r="AL49">
        <v>207.25</v>
      </c>
      <c r="AM49">
        <v>8</v>
      </c>
      <c r="AN49" t="s">
        <v>85</v>
      </c>
      <c r="AO49" t="s">
        <v>5</v>
      </c>
      <c r="AQ49" t="s">
        <v>84</v>
      </c>
      <c r="AR49">
        <v>1</v>
      </c>
      <c r="AS49">
        <v>111.59</v>
      </c>
      <c r="AT49">
        <v>2</v>
      </c>
      <c r="AU49" t="s">
        <v>85</v>
      </c>
      <c r="AV49" t="s">
        <v>6</v>
      </c>
      <c r="AX49" t="s">
        <v>84</v>
      </c>
      <c r="AY49">
        <v>18</v>
      </c>
      <c r="AZ49">
        <v>92.38</v>
      </c>
      <c r="BA49">
        <v>4</v>
      </c>
      <c r="BB49" t="s">
        <v>85</v>
      </c>
      <c r="BC49" t="s">
        <v>6</v>
      </c>
      <c r="BE49" t="s">
        <v>84</v>
      </c>
      <c r="BF49">
        <v>9</v>
      </c>
      <c r="BG49">
        <v>104.98</v>
      </c>
      <c r="BH49">
        <v>2</v>
      </c>
      <c r="BI49" t="s">
        <v>85</v>
      </c>
      <c r="BJ49" t="s">
        <v>4</v>
      </c>
      <c r="BL49" t="s">
        <v>84</v>
      </c>
      <c r="BM49">
        <v>23</v>
      </c>
      <c r="BN49">
        <v>94</v>
      </c>
      <c r="BO49">
        <v>4</v>
      </c>
      <c r="BP49" t="s">
        <v>85</v>
      </c>
      <c r="BQ49" t="s">
        <v>4</v>
      </c>
      <c r="BS49" t="s">
        <v>84</v>
      </c>
      <c r="BT49">
        <v>37</v>
      </c>
      <c r="BU49">
        <v>141</v>
      </c>
      <c r="BV49">
        <v>8</v>
      </c>
      <c r="BW49" t="s">
        <v>85</v>
      </c>
      <c r="BX49" t="s">
        <v>4</v>
      </c>
    </row>
    <row r="50" spans="1:76" x14ac:dyDescent="0.25">
      <c r="A50" t="s">
        <v>84</v>
      </c>
      <c r="B50">
        <v>49</v>
      </c>
      <c r="C50">
        <v>105.99</v>
      </c>
      <c r="D50">
        <v>2</v>
      </c>
      <c r="E50" t="s">
        <v>85</v>
      </c>
      <c r="F50" t="s">
        <v>3</v>
      </c>
      <c r="H50" t="s">
        <v>84</v>
      </c>
      <c r="I50">
        <v>55</v>
      </c>
      <c r="J50">
        <v>94.57</v>
      </c>
      <c r="K50">
        <v>4</v>
      </c>
      <c r="L50" t="s">
        <v>85</v>
      </c>
      <c r="M50" t="s">
        <v>3</v>
      </c>
      <c r="O50" t="s">
        <v>84</v>
      </c>
      <c r="P50">
        <v>61</v>
      </c>
      <c r="Q50">
        <v>90.78</v>
      </c>
      <c r="R50">
        <v>8</v>
      </c>
      <c r="S50" t="s">
        <v>85</v>
      </c>
      <c r="T50" t="s">
        <v>3</v>
      </c>
      <c r="V50" t="s">
        <v>84</v>
      </c>
      <c r="W50">
        <v>63</v>
      </c>
      <c r="X50">
        <v>105.31</v>
      </c>
      <c r="Y50">
        <v>2</v>
      </c>
      <c r="Z50" t="s">
        <v>85</v>
      </c>
      <c r="AA50" t="s">
        <v>5</v>
      </c>
      <c r="AC50" t="s">
        <v>84</v>
      </c>
      <c r="AD50">
        <v>85</v>
      </c>
      <c r="AE50">
        <v>147.36000000000001</v>
      </c>
      <c r="AF50">
        <v>4</v>
      </c>
      <c r="AG50" t="s">
        <v>85</v>
      </c>
      <c r="AH50" t="s">
        <v>5</v>
      </c>
      <c r="AJ50" t="s">
        <v>84</v>
      </c>
      <c r="AK50">
        <v>80</v>
      </c>
      <c r="AL50">
        <v>207.25</v>
      </c>
      <c r="AM50">
        <v>8</v>
      </c>
      <c r="AN50" t="s">
        <v>85</v>
      </c>
      <c r="AO50" t="s">
        <v>5</v>
      </c>
      <c r="AQ50" t="s">
        <v>84</v>
      </c>
      <c r="AR50">
        <v>2</v>
      </c>
      <c r="AS50">
        <v>100.43</v>
      </c>
      <c r="AT50">
        <v>2</v>
      </c>
      <c r="AU50" t="s">
        <v>85</v>
      </c>
      <c r="AV50" t="s">
        <v>6</v>
      </c>
      <c r="AX50" t="s">
        <v>84</v>
      </c>
      <c r="AY50">
        <v>19</v>
      </c>
      <c r="AZ50">
        <v>95.48</v>
      </c>
      <c r="BA50">
        <v>4</v>
      </c>
      <c r="BB50" t="s">
        <v>85</v>
      </c>
      <c r="BC50" t="s">
        <v>6</v>
      </c>
      <c r="BE50" t="s">
        <v>84</v>
      </c>
      <c r="BF50">
        <v>10</v>
      </c>
      <c r="BG50">
        <v>104.98</v>
      </c>
      <c r="BH50">
        <v>2</v>
      </c>
      <c r="BI50" t="s">
        <v>85</v>
      </c>
      <c r="BJ50" t="s">
        <v>4</v>
      </c>
      <c r="BL50" t="s">
        <v>84</v>
      </c>
      <c r="BM50">
        <v>24</v>
      </c>
      <c r="BN50">
        <v>105.61</v>
      </c>
      <c r="BO50">
        <v>4</v>
      </c>
      <c r="BP50" t="s">
        <v>85</v>
      </c>
      <c r="BQ50" t="s">
        <v>4</v>
      </c>
      <c r="BS50" t="s">
        <v>84</v>
      </c>
      <c r="BT50">
        <v>38</v>
      </c>
      <c r="BU50">
        <v>117</v>
      </c>
      <c r="BV50">
        <v>8</v>
      </c>
      <c r="BW50" t="s">
        <v>85</v>
      </c>
      <c r="BX50" t="s">
        <v>4</v>
      </c>
    </row>
    <row r="51" spans="1:76" x14ac:dyDescent="0.25">
      <c r="A51" t="s">
        <v>84</v>
      </c>
      <c r="B51">
        <v>50</v>
      </c>
      <c r="C51">
        <v>104.47</v>
      </c>
      <c r="D51">
        <v>2</v>
      </c>
      <c r="E51" t="s">
        <v>85</v>
      </c>
      <c r="F51" t="s">
        <v>3</v>
      </c>
      <c r="H51" t="s">
        <v>84</v>
      </c>
      <c r="I51">
        <v>56</v>
      </c>
      <c r="J51">
        <v>97</v>
      </c>
      <c r="K51">
        <v>4</v>
      </c>
      <c r="L51" t="s">
        <v>85</v>
      </c>
      <c r="M51" t="s">
        <v>3</v>
      </c>
      <c r="O51" t="s">
        <v>84</v>
      </c>
      <c r="P51">
        <v>62</v>
      </c>
      <c r="Q51">
        <v>90.81</v>
      </c>
      <c r="R51">
        <v>8</v>
      </c>
      <c r="S51" t="s">
        <v>85</v>
      </c>
      <c r="T51" t="s">
        <v>3</v>
      </c>
      <c r="V51" t="s">
        <v>84</v>
      </c>
      <c r="W51">
        <v>64</v>
      </c>
      <c r="X51">
        <v>106.49</v>
      </c>
      <c r="Y51">
        <v>2</v>
      </c>
      <c r="Z51" t="s">
        <v>85</v>
      </c>
      <c r="AA51" t="s">
        <v>5</v>
      </c>
      <c r="AC51" t="s">
        <v>84</v>
      </c>
      <c r="AD51">
        <v>88</v>
      </c>
      <c r="AE51">
        <v>101</v>
      </c>
      <c r="AF51">
        <v>4</v>
      </c>
      <c r="AG51" t="s">
        <v>85</v>
      </c>
      <c r="AH51" t="s">
        <v>5</v>
      </c>
      <c r="AJ51" t="s">
        <v>84</v>
      </c>
      <c r="AK51">
        <v>81</v>
      </c>
      <c r="AL51">
        <v>207.25</v>
      </c>
      <c r="AM51">
        <v>8</v>
      </c>
      <c r="AN51" t="s">
        <v>85</v>
      </c>
      <c r="AO51" t="s">
        <v>5</v>
      </c>
      <c r="AQ51" t="s">
        <v>84</v>
      </c>
      <c r="AR51">
        <v>3</v>
      </c>
      <c r="AS51">
        <v>94.48</v>
      </c>
      <c r="AT51">
        <v>2</v>
      </c>
      <c r="AU51" t="s">
        <v>85</v>
      </c>
      <c r="AV51" t="s">
        <v>6</v>
      </c>
      <c r="AX51" t="s">
        <v>84</v>
      </c>
      <c r="AY51">
        <v>20</v>
      </c>
      <c r="AZ51">
        <v>82.61</v>
      </c>
      <c r="BA51">
        <v>4</v>
      </c>
      <c r="BB51" t="s">
        <v>85</v>
      </c>
      <c r="BC51" t="s">
        <v>6</v>
      </c>
      <c r="BE51" t="s">
        <v>84</v>
      </c>
      <c r="BF51">
        <v>11</v>
      </c>
      <c r="BG51">
        <v>104.98</v>
      </c>
      <c r="BH51">
        <v>2</v>
      </c>
      <c r="BI51" t="s">
        <v>85</v>
      </c>
      <c r="BJ51" t="s">
        <v>4</v>
      </c>
      <c r="BL51" t="s">
        <v>84</v>
      </c>
      <c r="BM51">
        <v>25</v>
      </c>
      <c r="BN51">
        <v>91.58</v>
      </c>
      <c r="BO51">
        <v>4</v>
      </c>
      <c r="BP51" t="s">
        <v>85</v>
      </c>
      <c r="BQ51" t="s">
        <v>4</v>
      </c>
      <c r="BS51" t="s">
        <v>84</v>
      </c>
      <c r="BT51">
        <v>39</v>
      </c>
      <c r="BU51">
        <v>109.43</v>
      </c>
      <c r="BV51">
        <v>8</v>
      </c>
      <c r="BW51" t="s">
        <v>85</v>
      </c>
      <c r="BX51" t="s">
        <v>4</v>
      </c>
    </row>
    <row r="52" spans="1:76" x14ac:dyDescent="0.25">
      <c r="A52" t="s">
        <v>84</v>
      </c>
      <c r="B52">
        <v>51</v>
      </c>
      <c r="C52">
        <v>95.47</v>
      </c>
      <c r="D52">
        <v>2</v>
      </c>
      <c r="E52" t="s">
        <v>85</v>
      </c>
      <c r="F52" t="s">
        <v>3</v>
      </c>
      <c r="H52" t="s">
        <v>84</v>
      </c>
      <c r="I52">
        <v>57</v>
      </c>
      <c r="J52">
        <v>97.7</v>
      </c>
      <c r="K52">
        <v>4</v>
      </c>
      <c r="L52" t="s">
        <v>85</v>
      </c>
      <c r="M52" t="s">
        <v>3</v>
      </c>
      <c r="O52" t="s">
        <v>84</v>
      </c>
      <c r="P52">
        <v>63</v>
      </c>
      <c r="Q52">
        <v>95.81</v>
      </c>
      <c r="R52">
        <v>8</v>
      </c>
      <c r="S52" t="s">
        <v>85</v>
      </c>
      <c r="T52" t="s">
        <v>3</v>
      </c>
      <c r="V52" t="s">
        <v>84</v>
      </c>
      <c r="W52">
        <v>65</v>
      </c>
      <c r="X52">
        <v>101.5</v>
      </c>
      <c r="Y52">
        <v>2</v>
      </c>
      <c r="Z52" t="s">
        <v>85</v>
      </c>
      <c r="AA52" t="s">
        <v>5</v>
      </c>
      <c r="AC52" t="s">
        <v>84</v>
      </c>
      <c r="AD52">
        <v>89</v>
      </c>
      <c r="AE52">
        <v>127</v>
      </c>
      <c r="AF52">
        <v>4</v>
      </c>
      <c r="AG52" t="s">
        <v>85</v>
      </c>
      <c r="AH52" t="s">
        <v>5</v>
      </c>
      <c r="AJ52" t="s">
        <v>84</v>
      </c>
      <c r="AK52">
        <v>82</v>
      </c>
      <c r="AL52">
        <v>160.32</v>
      </c>
      <c r="AM52">
        <v>8</v>
      </c>
      <c r="AN52" t="s">
        <v>85</v>
      </c>
      <c r="AO52" t="s">
        <v>5</v>
      </c>
      <c r="AQ52" t="s">
        <v>84</v>
      </c>
      <c r="AR52">
        <v>4</v>
      </c>
      <c r="AS52">
        <v>91.37</v>
      </c>
      <c r="AT52">
        <v>2</v>
      </c>
      <c r="AU52" t="s">
        <v>85</v>
      </c>
      <c r="AV52" t="s">
        <v>6</v>
      </c>
      <c r="AX52" t="s">
        <v>84</v>
      </c>
      <c r="AY52">
        <v>21</v>
      </c>
      <c r="AZ52">
        <v>81.14</v>
      </c>
      <c r="BA52">
        <v>4</v>
      </c>
      <c r="BB52" t="s">
        <v>85</v>
      </c>
      <c r="BC52" t="s">
        <v>6</v>
      </c>
      <c r="BE52" t="s">
        <v>84</v>
      </c>
      <c r="BF52">
        <v>12</v>
      </c>
      <c r="BG52">
        <v>104.98</v>
      </c>
      <c r="BH52">
        <v>2</v>
      </c>
      <c r="BI52" t="s">
        <v>85</v>
      </c>
      <c r="BJ52" t="s">
        <v>4</v>
      </c>
      <c r="BL52" t="s">
        <v>84</v>
      </c>
      <c r="BM52">
        <v>26</v>
      </c>
      <c r="BN52">
        <v>104.67</v>
      </c>
      <c r="BO52">
        <v>4</v>
      </c>
      <c r="BP52" t="s">
        <v>85</v>
      </c>
      <c r="BQ52" t="s">
        <v>4</v>
      </c>
      <c r="BS52" t="s">
        <v>84</v>
      </c>
      <c r="BT52">
        <v>40</v>
      </c>
      <c r="BU52">
        <v>92.52</v>
      </c>
      <c r="BV52">
        <v>8</v>
      </c>
      <c r="BW52" t="s">
        <v>85</v>
      </c>
      <c r="BX52" t="s">
        <v>4</v>
      </c>
    </row>
    <row r="53" spans="1:76" x14ac:dyDescent="0.25">
      <c r="A53" t="s">
        <v>84</v>
      </c>
      <c r="B53">
        <v>52</v>
      </c>
      <c r="C53">
        <v>95.47</v>
      </c>
      <c r="D53">
        <v>2</v>
      </c>
      <c r="E53" t="s">
        <v>85</v>
      </c>
      <c r="F53" t="s">
        <v>3</v>
      </c>
      <c r="H53" t="s">
        <v>84</v>
      </c>
      <c r="I53">
        <v>58</v>
      </c>
      <c r="J53">
        <v>99.62</v>
      </c>
      <c r="K53">
        <v>4</v>
      </c>
      <c r="L53" t="s">
        <v>85</v>
      </c>
      <c r="M53" t="s">
        <v>3</v>
      </c>
      <c r="O53" t="s">
        <v>84</v>
      </c>
      <c r="P53">
        <v>64</v>
      </c>
      <c r="Q53">
        <v>96.99</v>
      </c>
      <c r="R53">
        <v>8</v>
      </c>
      <c r="S53" t="s">
        <v>85</v>
      </c>
      <c r="T53" t="s">
        <v>3</v>
      </c>
      <c r="V53" t="s">
        <v>84</v>
      </c>
      <c r="W53">
        <v>66</v>
      </c>
      <c r="X53">
        <v>115.06</v>
      </c>
      <c r="Y53">
        <v>2</v>
      </c>
      <c r="Z53" t="s">
        <v>85</v>
      </c>
      <c r="AA53" t="s">
        <v>5</v>
      </c>
      <c r="AC53" t="s">
        <v>84</v>
      </c>
      <c r="AD53">
        <v>90</v>
      </c>
      <c r="AE53">
        <v>120.75</v>
      </c>
      <c r="AF53">
        <v>4</v>
      </c>
      <c r="AG53" t="s">
        <v>85</v>
      </c>
      <c r="AH53" t="s">
        <v>5</v>
      </c>
      <c r="AJ53" t="s">
        <v>84</v>
      </c>
      <c r="AK53">
        <v>83</v>
      </c>
      <c r="AL53">
        <v>156.81</v>
      </c>
      <c r="AM53">
        <v>8</v>
      </c>
      <c r="AN53" t="s">
        <v>85</v>
      </c>
      <c r="AO53" t="s">
        <v>5</v>
      </c>
      <c r="AQ53" t="s">
        <v>84</v>
      </c>
      <c r="AR53">
        <v>5</v>
      </c>
      <c r="AS53">
        <v>94.48</v>
      </c>
      <c r="AT53">
        <v>2</v>
      </c>
      <c r="AU53" t="s">
        <v>85</v>
      </c>
      <c r="AV53" t="s">
        <v>6</v>
      </c>
      <c r="AX53" t="s">
        <v>84</v>
      </c>
      <c r="AY53">
        <v>22</v>
      </c>
      <c r="AZ53">
        <v>84.79</v>
      </c>
      <c r="BA53">
        <v>4</v>
      </c>
      <c r="BB53" t="s">
        <v>85</v>
      </c>
      <c r="BC53" t="s">
        <v>6</v>
      </c>
      <c r="BE53" t="s">
        <v>84</v>
      </c>
      <c r="BF53">
        <v>13</v>
      </c>
      <c r="BG53">
        <v>105.4</v>
      </c>
      <c r="BH53">
        <v>2</v>
      </c>
      <c r="BI53" t="s">
        <v>85</v>
      </c>
      <c r="BJ53" t="s">
        <v>4</v>
      </c>
      <c r="BL53" t="s">
        <v>84</v>
      </c>
      <c r="BM53">
        <v>27</v>
      </c>
      <c r="BN53">
        <v>120.46</v>
      </c>
      <c r="BO53">
        <v>4</v>
      </c>
      <c r="BP53" t="s">
        <v>85</v>
      </c>
      <c r="BQ53" t="s">
        <v>4</v>
      </c>
      <c r="BS53" t="s">
        <v>84</v>
      </c>
      <c r="BT53">
        <v>41</v>
      </c>
      <c r="BU53">
        <v>117</v>
      </c>
      <c r="BV53">
        <v>8</v>
      </c>
      <c r="BW53" t="s">
        <v>85</v>
      </c>
      <c r="BX53" t="s">
        <v>4</v>
      </c>
    </row>
    <row r="54" spans="1:76" x14ac:dyDescent="0.25">
      <c r="A54" t="s">
        <v>84</v>
      </c>
      <c r="B54">
        <v>53</v>
      </c>
      <c r="C54">
        <v>95.95</v>
      </c>
      <c r="D54">
        <v>2</v>
      </c>
      <c r="E54" t="s">
        <v>85</v>
      </c>
      <c r="F54" t="s">
        <v>3</v>
      </c>
      <c r="H54" t="s">
        <v>84</v>
      </c>
      <c r="I54">
        <v>59</v>
      </c>
      <c r="J54">
        <v>102</v>
      </c>
      <c r="K54">
        <v>4</v>
      </c>
      <c r="L54" t="s">
        <v>85</v>
      </c>
      <c r="M54" t="s">
        <v>3</v>
      </c>
      <c r="O54" t="s">
        <v>84</v>
      </c>
      <c r="P54">
        <v>65</v>
      </c>
      <c r="Q54">
        <v>92</v>
      </c>
      <c r="R54">
        <v>8</v>
      </c>
      <c r="S54" t="s">
        <v>85</v>
      </c>
      <c r="T54" t="s">
        <v>3</v>
      </c>
      <c r="V54" t="s">
        <v>84</v>
      </c>
      <c r="W54">
        <v>67</v>
      </c>
      <c r="X54">
        <v>127.19</v>
      </c>
      <c r="Y54">
        <v>2</v>
      </c>
      <c r="Z54" t="s">
        <v>85</v>
      </c>
      <c r="AA54" t="s">
        <v>5</v>
      </c>
      <c r="AC54" t="s">
        <v>84</v>
      </c>
      <c r="AD54">
        <v>91</v>
      </c>
      <c r="AE54">
        <v>107.9</v>
      </c>
      <c r="AF54">
        <v>4</v>
      </c>
      <c r="AG54" t="s">
        <v>85</v>
      </c>
      <c r="AH54" t="s">
        <v>5</v>
      </c>
      <c r="AJ54" t="s">
        <v>84</v>
      </c>
      <c r="AK54">
        <v>86</v>
      </c>
      <c r="AL54">
        <v>158.07</v>
      </c>
      <c r="AM54">
        <v>8</v>
      </c>
      <c r="AN54" t="s">
        <v>85</v>
      </c>
      <c r="AO54" t="s">
        <v>5</v>
      </c>
      <c r="AQ54" t="s">
        <v>84</v>
      </c>
      <c r="AR54">
        <v>6</v>
      </c>
      <c r="AS54">
        <v>94.48</v>
      </c>
      <c r="AT54">
        <v>2</v>
      </c>
      <c r="AU54" t="s">
        <v>85</v>
      </c>
      <c r="AV54" t="s">
        <v>6</v>
      </c>
      <c r="AX54" t="s">
        <v>84</v>
      </c>
      <c r="AY54">
        <v>23</v>
      </c>
      <c r="AZ54">
        <v>89</v>
      </c>
      <c r="BA54">
        <v>4</v>
      </c>
      <c r="BB54" t="s">
        <v>85</v>
      </c>
      <c r="BC54" t="s">
        <v>6</v>
      </c>
      <c r="BE54" t="s">
        <v>84</v>
      </c>
      <c r="BF54">
        <v>14</v>
      </c>
      <c r="BG54">
        <v>106.5</v>
      </c>
      <c r="BH54">
        <v>2</v>
      </c>
      <c r="BI54" t="s">
        <v>85</v>
      </c>
      <c r="BJ54" t="s">
        <v>4</v>
      </c>
      <c r="BL54" t="s">
        <v>84</v>
      </c>
      <c r="BM54">
        <v>28</v>
      </c>
      <c r="BN54">
        <v>133.78</v>
      </c>
      <c r="BO54">
        <v>4</v>
      </c>
      <c r="BP54" t="s">
        <v>85</v>
      </c>
      <c r="BQ54" t="s">
        <v>4</v>
      </c>
      <c r="BS54" t="s">
        <v>84</v>
      </c>
      <c r="BT54">
        <v>42</v>
      </c>
      <c r="BU54">
        <v>106.64</v>
      </c>
      <c r="BV54">
        <v>8</v>
      </c>
      <c r="BW54" t="s">
        <v>85</v>
      </c>
      <c r="BX54" t="s">
        <v>4</v>
      </c>
    </row>
    <row r="55" spans="1:76" x14ac:dyDescent="0.25">
      <c r="A55" t="s">
        <v>84</v>
      </c>
      <c r="B55">
        <v>54</v>
      </c>
      <c r="C55">
        <v>97.58</v>
      </c>
      <c r="D55">
        <v>2</v>
      </c>
      <c r="E55" t="s">
        <v>85</v>
      </c>
      <c r="F55" t="s">
        <v>3</v>
      </c>
      <c r="H55" t="s">
        <v>84</v>
      </c>
      <c r="I55">
        <v>60</v>
      </c>
      <c r="J55">
        <v>101.22</v>
      </c>
      <c r="K55">
        <v>4</v>
      </c>
      <c r="L55" t="s">
        <v>85</v>
      </c>
      <c r="M55" t="s">
        <v>3</v>
      </c>
      <c r="O55" t="s">
        <v>84</v>
      </c>
      <c r="P55">
        <v>66</v>
      </c>
      <c r="Q55">
        <v>105.56</v>
      </c>
      <c r="R55">
        <v>8</v>
      </c>
      <c r="S55" t="s">
        <v>85</v>
      </c>
      <c r="T55" t="s">
        <v>3</v>
      </c>
      <c r="V55" t="s">
        <v>84</v>
      </c>
      <c r="W55">
        <v>68</v>
      </c>
      <c r="X55">
        <v>139.5</v>
      </c>
      <c r="Y55">
        <v>2</v>
      </c>
      <c r="Z55" t="s">
        <v>85</v>
      </c>
      <c r="AA55" t="s">
        <v>5</v>
      </c>
      <c r="AC55" t="s">
        <v>84</v>
      </c>
      <c r="AD55">
        <v>92</v>
      </c>
      <c r="AE55">
        <v>100.34</v>
      </c>
      <c r="AF55">
        <v>4</v>
      </c>
      <c r="AG55" t="s">
        <v>85</v>
      </c>
      <c r="AH55" t="s">
        <v>5</v>
      </c>
      <c r="AJ55" t="s">
        <v>84</v>
      </c>
      <c r="AK55">
        <v>87</v>
      </c>
      <c r="AL55">
        <v>156.81</v>
      </c>
      <c r="AM55">
        <v>8</v>
      </c>
      <c r="AN55" t="s">
        <v>85</v>
      </c>
      <c r="AO55" t="s">
        <v>5</v>
      </c>
      <c r="AQ55" t="s">
        <v>84</v>
      </c>
      <c r="AR55">
        <v>7</v>
      </c>
      <c r="AS55">
        <v>100.48</v>
      </c>
      <c r="AT55">
        <v>2</v>
      </c>
      <c r="AU55" t="s">
        <v>85</v>
      </c>
      <c r="AV55" t="s">
        <v>6</v>
      </c>
      <c r="AX55" t="s">
        <v>84</v>
      </c>
      <c r="AY55">
        <v>24</v>
      </c>
      <c r="AZ55">
        <v>100.61</v>
      </c>
      <c r="BA55">
        <v>4</v>
      </c>
      <c r="BB55" t="s">
        <v>85</v>
      </c>
      <c r="BC55" t="s">
        <v>6</v>
      </c>
      <c r="BE55" t="s">
        <v>84</v>
      </c>
      <c r="BF55">
        <v>15</v>
      </c>
      <c r="BG55">
        <v>106.5</v>
      </c>
      <c r="BH55">
        <v>2</v>
      </c>
      <c r="BI55" t="s">
        <v>85</v>
      </c>
      <c r="BJ55" t="s">
        <v>4</v>
      </c>
      <c r="BL55" t="s">
        <v>84</v>
      </c>
      <c r="BM55">
        <v>29</v>
      </c>
      <c r="BN55">
        <v>109.69</v>
      </c>
      <c r="BO55">
        <v>4</v>
      </c>
      <c r="BP55" t="s">
        <v>85</v>
      </c>
      <c r="BQ55" t="s">
        <v>4</v>
      </c>
      <c r="BS55" t="s">
        <v>84</v>
      </c>
      <c r="BT55">
        <v>43</v>
      </c>
      <c r="BU55">
        <v>91.09</v>
      </c>
      <c r="BV55">
        <v>8</v>
      </c>
      <c r="BW55" t="s">
        <v>85</v>
      </c>
      <c r="BX55" t="s">
        <v>4</v>
      </c>
    </row>
    <row r="56" spans="1:76" x14ac:dyDescent="0.25">
      <c r="A56" t="s">
        <v>84</v>
      </c>
      <c r="B56">
        <v>55</v>
      </c>
      <c r="C56">
        <v>99.07</v>
      </c>
      <c r="D56">
        <v>2</v>
      </c>
      <c r="E56" t="s">
        <v>85</v>
      </c>
      <c r="F56" t="s">
        <v>3</v>
      </c>
      <c r="H56" t="s">
        <v>84</v>
      </c>
      <c r="I56">
        <v>61</v>
      </c>
      <c r="J56">
        <v>95.78</v>
      </c>
      <c r="K56">
        <v>4</v>
      </c>
      <c r="L56" t="s">
        <v>85</v>
      </c>
      <c r="M56" t="s">
        <v>3</v>
      </c>
      <c r="O56" t="s">
        <v>84</v>
      </c>
      <c r="P56">
        <v>67</v>
      </c>
      <c r="Q56">
        <v>117.69</v>
      </c>
      <c r="R56">
        <v>8</v>
      </c>
      <c r="S56" t="s">
        <v>85</v>
      </c>
      <c r="T56" t="s">
        <v>3</v>
      </c>
      <c r="V56" t="s">
        <v>84</v>
      </c>
      <c r="W56">
        <v>69</v>
      </c>
      <c r="X56">
        <v>112.78</v>
      </c>
      <c r="Y56">
        <v>2</v>
      </c>
      <c r="Z56" t="s">
        <v>85</v>
      </c>
      <c r="AA56" t="s">
        <v>5</v>
      </c>
      <c r="AC56" t="s">
        <v>84</v>
      </c>
      <c r="AD56">
        <v>93</v>
      </c>
      <c r="AE56">
        <v>116.28</v>
      </c>
      <c r="AF56">
        <v>4</v>
      </c>
      <c r="AG56" t="s">
        <v>85</v>
      </c>
      <c r="AH56" t="s">
        <v>5</v>
      </c>
      <c r="AJ56" t="s">
        <v>84</v>
      </c>
      <c r="AK56">
        <v>75</v>
      </c>
      <c r="AL56">
        <v>153.82</v>
      </c>
      <c r="AM56">
        <v>6</v>
      </c>
      <c r="AN56" t="s">
        <v>85</v>
      </c>
      <c r="AO56" t="s">
        <v>5</v>
      </c>
      <c r="AQ56" t="s">
        <v>84</v>
      </c>
      <c r="AR56">
        <v>8</v>
      </c>
      <c r="AS56">
        <v>100.48</v>
      </c>
      <c r="AT56">
        <v>2</v>
      </c>
      <c r="AU56" t="s">
        <v>85</v>
      </c>
      <c r="AV56" t="s">
        <v>6</v>
      </c>
      <c r="AX56" t="s">
        <v>84</v>
      </c>
      <c r="AY56">
        <v>25</v>
      </c>
      <c r="AZ56">
        <v>90</v>
      </c>
      <c r="BA56">
        <v>4</v>
      </c>
      <c r="BB56" t="s">
        <v>85</v>
      </c>
      <c r="BC56" t="s">
        <v>6</v>
      </c>
      <c r="BE56" t="s">
        <v>84</v>
      </c>
      <c r="BF56">
        <v>16</v>
      </c>
      <c r="BG56">
        <v>106.93</v>
      </c>
      <c r="BH56">
        <v>2</v>
      </c>
      <c r="BI56" t="s">
        <v>85</v>
      </c>
      <c r="BJ56" t="s">
        <v>4</v>
      </c>
      <c r="BL56" t="s">
        <v>84</v>
      </c>
      <c r="BM56">
        <v>30</v>
      </c>
      <c r="BN56">
        <v>134.97</v>
      </c>
      <c r="BO56">
        <v>4</v>
      </c>
      <c r="BP56" t="s">
        <v>85</v>
      </c>
      <c r="BQ56" t="s">
        <v>4</v>
      </c>
      <c r="BS56" t="s">
        <v>84</v>
      </c>
      <c r="BT56">
        <v>44</v>
      </c>
      <c r="BU56">
        <v>89.29</v>
      </c>
      <c r="BV56">
        <v>8</v>
      </c>
      <c r="BW56" t="s">
        <v>85</v>
      </c>
      <c r="BX56" t="s">
        <v>4</v>
      </c>
    </row>
    <row r="57" spans="1:76" x14ac:dyDescent="0.25">
      <c r="A57" t="s">
        <v>84</v>
      </c>
      <c r="B57">
        <v>56</v>
      </c>
      <c r="C57">
        <v>101.5</v>
      </c>
      <c r="D57">
        <v>2</v>
      </c>
      <c r="E57" t="s">
        <v>85</v>
      </c>
      <c r="F57" t="s">
        <v>3</v>
      </c>
      <c r="H57" t="s">
        <v>84</v>
      </c>
      <c r="I57">
        <v>62</v>
      </c>
      <c r="J57">
        <v>95.81</v>
      </c>
      <c r="K57">
        <v>4</v>
      </c>
      <c r="L57" t="s">
        <v>85</v>
      </c>
      <c r="M57" t="s">
        <v>3</v>
      </c>
      <c r="O57" t="s">
        <v>84</v>
      </c>
      <c r="P57">
        <v>68</v>
      </c>
      <c r="Q57">
        <v>130</v>
      </c>
      <c r="R57">
        <v>8</v>
      </c>
      <c r="S57" t="s">
        <v>85</v>
      </c>
      <c r="T57" t="s">
        <v>3</v>
      </c>
      <c r="V57" t="s">
        <v>84</v>
      </c>
      <c r="W57">
        <v>70</v>
      </c>
      <c r="X57">
        <v>125.21</v>
      </c>
      <c r="Y57">
        <v>2</v>
      </c>
      <c r="Z57" t="s">
        <v>85</v>
      </c>
      <c r="AA57" t="s">
        <v>5</v>
      </c>
      <c r="AC57" t="s">
        <v>84</v>
      </c>
      <c r="AD57">
        <v>94</v>
      </c>
      <c r="AE57">
        <v>110.04</v>
      </c>
      <c r="AF57">
        <v>4</v>
      </c>
      <c r="AG57" t="s">
        <v>85</v>
      </c>
      <c r="AH57" t="s">
        <v>5</v>
      </c>
      <c r="AJ57" t="s">
        <v>84</v>
      </c>
      <c r="AK57">
        <v>77</v>
      </c>
      <c r="AL57">
        <v>153.82</v>
      </c>
      <c r="AM57">
        <v>6</v>
      </c>
      <c r="AN57" t="s">
        <v>85</v>
      </c>
      <c r="AO57" t="s">
        <v>5</v>
      </c>
      <c r="AQ57" t="s">
        <v>84</v>
      </c>
      <c r="AR57">
        <v>9</v>
      </c>
      <c r="AS57">
        <v>100.48</v>
      </c>
      <c r="AT57">
        <v>2</v>
      </c>
      <c r="AU57" t="s">
        <v>85</v>
      </c>
      <c r="AV57" t="s">
        <v>6</v>
      </c>
      <c r="AX57" t="s">
        <v>84</v>
      </c>
      <c r="AY57">
        <v>26</v>
      </c>
      <c r="AZ57">
        <v>99.67</v>
      </c>
      <c r="BA57">
        <v>4</v>
      </c>
      <c r="BB57" t="s">
        <v>85</v>
      </c>
      <c r="BC57" t="s">
        <v>6</v>
      </c>
      <c r="BE57" t="s">
        <v>84</v>
      </c>
      <c r="BF57">
        <v>17</v>
      </c>
      <c r="BG57">
        <v>100.54</v>
      </c>
      <c r="BH57">
        <v>2</v>
      </c>
      <c r="BI57" t="s">
        <v>85</v>
      </c>
      <c r="BJ57" t="s">
        <v>4</v>
      </c>
      <c r="BL57" t="s">
        <v>84</v>
      </c>
      <c r="BM57">
        <v>31</v>
      </c>
      <c r="BN57">
        <v>161.59</v>
      </c>
      <c r="BO57">
        <v>4</v>
      </c>
      <c r="BP57" t="s">
        <v>85</v>
      </c>
      <c r="BQ57" t="s">
        <v>4</v>
      </c>
      <c r="BS57" t="s">
        <v>84</v>
      </c>
      <c r="BT57">
        <v>45</v>
      </c>
      <c r="BU57">
        <v>93.11</v>
      </c>
      <c r="BV57">
        <v>8</v>
      </c>
      <c r="BW57" t="s">
        <v>85</v>
      </c>
      <c r="BX57" t="s">
        <v>4</v>
      </c>
    </row>
    <row r="58" spans="1:76" x14ac:dyDescent="0.25">
      <c r="A58" t="s">
        <v>84</v>
      </c>
      <c r="B58">
        <v>57</v>
      </c>
      <c r="C58">
        <v>102.2</v>
      </c>
      <c r="D58">
        <v>2</v>
      </c>
      <c r="E58" t="s">
        <v>85</v>
      </c>
      <c r="F58" t="s">
        <v>3</v>
      </c>
      <c r="H58" t="s">
        <v>84</v>
      </c>
      <c r="I58">
        <v>63</v>
      </c>
      <c r="J58">
        <v>100.81</v>
      </c>
      <c r="K58">
        <v>4</v>
      </c>
      <c r="L58" t="s">
        <v>85</v>
      </c>
      <c r="M58" t="s">
        <v>3</v>
      </c>
      <c r="O58" t="s">
        <v>84</v>
      </c>
      <c r="P58">
        <v>69</v>
      </c>
      <c r="Q58">
        <v>103.28</v>
      </c>
      <c r="R58">
        <v>8</v>
      </c>
      <c r="S58" t="s">
        <v>85</v>
      </c>
      <c r="T58" t="s">
        <v>3</v>
      </c>
      <c r="V58" t="s">
        <v>84</v>
      </c>
      <c r="W58">
        <v>71</v>
      </c>
      <c r="X58">
        <v>141.27000000000001</v>
      </c>
      <c r="Y58">
        <v>2</v>
      </c>
      <c r="Z58" t="s">
        <v>85</v>
      </c>
      <c r="AA58" t="s">
        <v>5</v>
      </c>
      <c r="AC58" t="s">
        <v>84</v>
      </c>
      <c r="AD58">
        <v>95</v>
      </c>
      <c r="AE58">
        <v>100.4</v>
      </c>
      <c r="AF58">
        <v>4</v>
      </c>
      <c r="AG58" t="s">
        <v>85</v>
      </c>
      <c r="AH58" t="s">
        <v>5</v>
      </c>
      <c r="AJ58" t="s">
        <v>84</v>
      </c>
      <c r="AK58">
        <v>78</v>
      </c>
      <c r="AL58">
        <v>156.07</v>
      </c>
      <c r="AM58">
        <v>6</v>
      </c>
      <c r="AN58" t="s">
        <v>85</v>
      </c>
      <c r="AO58" t="s">
        <v>5</v>
      </c>
      <c r="AQ58" t="s">
        <v>84</v>
      </c>
      <c r="AR58">
        <v>10</v>
      </c>
      <c r="AS58">
        <v>100.48</v>
      </c>
      <c r="AT58">
        <v>2</v>
      </c>
      <c r="AU58" t="s">
        <v>85</v>
      </c>
      <c r="AV58" t="s">
        <v>6</v>
      </c>
      <c r="AX58" t="s">
        <v>84</v>
      </c>
      <c r="AY58">
        <v>27</v>
      </c>
      <c r="AZ58">
        <v>115.46</v>
      </c>
      <c r="BA58">
        <v>4</v>
      </c>
      <c r="BB58" t="s">
        <v>85</v>
      </c>
      <c r="BC58" t="s">
        <v>6</v>
      </c>
      <c r="BE58" t="s">
        <v>84</v>
      </c>
      <c r="BF58">
        <v>18</v>
      </c>
      <c r="BG58">
        <v>101.88</v>
      </c>
      <c r="BH58">
        <v>2</v>
      </c>
      <c r="BI58" t="s">
        <v>85</v>
      </c>
      <c r="BJ58" t="s">
        <v>4</v>
      </c>
      <c r="BL58" t="s">
        <v>84</v>
      </c>
      <c r="BM58">
        <v>32</v>
      </c>
      <c r="BN58">
        <v>162</v>
      </c>
      <c r="BO58">
        <v>4</v>
      </c>
      <c r="BP58" t="s">
        <v>85</v>
      </c>
      <c r="BQ58" t="s">
        <v>4</v>
      </c>
      <c r="BS58" t="s">
        <v>84</v>
      </c>
      <c r="BT58">
        <v>46</v>
      </c>
      <c r="BU58">
        <v>89.48</v>
      </c>
      <c r="BV58">
        <v>8</v>
      </c>
      <c r="BW58" t="s">
        <v>85</v>
      </c>
      <c r="BX58" t="s">
        <v>4</v>
      </c>
    </row>
    <row r="59" spans="1:76" x14ac:dyDescent="0.25">
      <c r="A59" t="s">
        <v>84</v>
      </c>
      <c r="B59">
        <v>58</v>
      </c>
      <c r="C59">
        <v>104.12</v>
      </c>
      <c r="D59">
        <v>2</v>
      </c>
      <c r="E59" t="s">
        <v>85</v>
      </c>
      <c r="F59" t="s">
        <v>3</v>
      </c>
      <c r="H59" t="s">
        <v>84</v>
      </c>
      <c r="I59">
        <v>64</v>
      </c>
      <c r="J59">
        <v>101.99</v>
      </c>
      <c r="K59">
        <v>4</v>
      </c>
      <c r="L59" t="s">
        <v>85</v>
      </c>
      <c r="M59" t="s">
        <v>3</v>
      </c>
      <c r="O59" t="s">
        <v>84</v>
      </c>
      <c r="P59">
        <v>70</v>
      </c>
      <c r="Q59">
        <v>115.71</v>
      </c>
      <c r="R59">
        <v>8</v>
      </c>
      <c r="S59" t="s">
        <v>85</v>
      </c>
      <c r="T59" t="s">
        <v>3</v>
      </c>
      <c r="V59" t="s">
        <v>84</v>
      </c>
      <c r="W59">
        <v>72</v>
      </c>
      <c r="X59">
        <v>161.5</v>
      </c>
      <c r="Y59">
        <v>2</v>
      </c>
      <c r="Z59" t="s">
        <v>85</v>
      </c>
      <c r="AA59" t="s">
        <v>5</v>
      </c>
      <c r="AC59" t="s">
        <v>84</v>
      </c>
      <c r="AD59">
        <v>96</v>
      </c>
      <c r="AE59">
        <v>99.88</v>
      </c>
      <c r="AF59">
        <v>4</v>
      </c>
      <c r="AG59" t="s">
        <v>85</v>
      </c>
      <c r="AH59" t="s">
        <v>5</v>
      </c>
      <c r="AJ59" t="s">
        <v>84</v>
      </c>
      <c r="AK59">
        <v>79</v>
      </c>
      <c r="AL59">
        <v>203</v>
      </c>
      <c r="AM59">
        <v>6</v>
      </c>
      <c r="AN59" t="s">
        <v>85</v>
      </c>
      <c r="AO59" t="s">
        <v>5</v>
      </c>
      <c r="AQ59" t="s">
        <v>84</v>
      </c>
      <c r="AR59">
        <v>11</v>
      </c>
      <c r="AS59">
        <v>100.48</v>
      </c>
      <c r="AT59">
        <v>2</v>
      </c>
      <c r="AU59" t="s">
        <v>85</v>
      </c>
      <c r="AV59" t="s">
        <v>6</v>
      </c>
      <c r="AX59" t="s">
        <v>84</v>
      </c>
      <c r="AY59">
        <v>28</v>
      </c>
      <c r="AZ59">
        <v>128.78</v>
      </c>
      <c r="BA59">
        <v>4</v>
      </c>
      <c r="BB59" t="s">
        <v>85</v>
      </c>
      <c r="BC59" t="s">
        <v>6</v>
      </c>
      <c r="BE59" t="s">
        <v>84</v>
      </c>
      <c r="BF59">
        <v>19</v>
      </c>
      <c r="BG59">
        <v>104.98</v>
      </c>
      <c r="BH59">
        <v>2</v>
      </c>
      <c r="BI59" t="s">
        <v>85</v>
      </c>
      <c r="BJ59" t="s">
        <v>4</v>
      </c>
      <c r="BL59" t="s">
        <v>84</v>
      </c>
      <c r="BM59">
        <v>33</v>
      </c>
      <c r="BN59">
        <v>164.1</v>
      </c>
      <c r="BO59">
        <v>4</v>
      </c>
      <c r="BP59" t="s">
        <v>85</v>
      </c>
      <c r="BQ59" t="s">
        <v>4</v>
      </c>
      <c r="BS59" t="s">
        <v>84</v>
      </c>
      <c r="BT59">
        <v>47</v>
      </c>
      <c r="BU59">
        <v>85.85</v>
      </c>
      <c r="BV59">
        <v>8</v>
      </c>
      <c r="BW59" t="s">
        <v>85</v>
      </c>
      <c r="BX59" t="s">
        <v>4</v>
      </c>
    </row>
    <row r="60" spans="1:76" x14ac:dyDescent="0.25">
      <c r="A60" t="s">
        <v>84</v>
      </c>
      <c r="B60">
        <v>59</v>
      </c>
      <c r="C60">
        <v>106.5</v>
      </c>
      <c r="D60">
        <v>2</v>
      </c>
      <c r="E60" t="s">
        <v>85</v>
      </c>
      <c r="F60" t="s">
        <v>3</v>
      </c>
      <c r="H60" t="s">
        <v>84</v>
      </c>
      <c r="I60">
        <v>65</v>
      </c>
      <c r="J60">
        <v>97</v>
      </c>
      <c r="K60">
        <v>4</v>
      </c>
      <c r="L60" t="s">
        <v>85</v>
      </c>
      <c r="M60" t="s">
        <v>3</v>
      </c>
      <c r="O60" t="s">
        <v>84</v>
      </c>
      <c r="P60">
        <v>71</v>
      </c>
      <c r="Q60">
        <v>131.77000000000001</v>
      </c>
      <c r="R60">
        <v>8</v>
      </c>
      <c r="S60" t="s">
        <v>85</v>
      </c>
      <c r="T60" t="s">
        <v>3</v>
      </c>
      <c r="V60" t="s">
        <v>84</v>
      </c>
      <c r="W60">
        <v>73</v>
      </c>
      <c r="X60">
        <v>134.36000000000001</v>
      </c>
      <c r="Y60">
        <v>2</v>
      </c>
      <c r="Z60" t="s">
        <v>85</v>
      </c>
      <c r="AA60" t="s">
        <v>5</v>
      </c>
      <c r="AC60" t="s">
        <v>84</v>
      </c>
      <c r="AD60">
        <v>1</v>
      </c>
      <c r="AE60">
        <v>106.59</v>
      </c>
      <c r="AF60">
        <v>8</v>
      </c>
      <c r="AG60" t="s">
        <v>85</v>
      </c>
      <c r="AH60" t="s">
        <v>5</v>
      </c>
      <c r="AJ60" t="s">
        <v>84</v>
      </c>
      <c r="AK60">
        <v>80</v>
      </c>
      <c r="AL60">
        <v>203</v>
      </c>
      <c r="AM60">
        <v>6</v>
      </c>
      <c r="AN60" t="s">
        <v>85</v>
      </c>
      <c r="AO60" t="s">
        <v>5</v>
      </c>
      <c r="AQ60" t="s">
        <v>84</v>
      </c>
      <c r="AR60">
        <v>12</v>
      </c>
      <c r="AS60">
        <v>100.48</v>
      </c>
      <c r="AT60">
        <v>2</v>
      </c>
      <c r="AU60" t="s">
        <v>85</v>
      </c>
      <c r="AV60" t="s">
        <v>6</v>
      </c>
      <c r="AX60" t="s">
        <v>84</v>
      </c>
      <c r="AY60">
        <v>29</v>
      </c>
      <c r="AZ60">
        <v>104.69</v>
      </c>
      <c r="BA60">
        <v>4</v>
      </c>
      <c r="BB60" t="s">
        <v>85</v>
      </c>
      <c r="BC60" t="s">
        <v>6</v>
      </c>
      <c r="BE60" t="s">
        <v>84</v>
      </c>
      <c r="BF60">
        <v>20</v>
      </c>
      <c r="BG60">
        <v>92.11</v>
      </c>
      <c r="BH60">
        <v>2</v>
      </c>
      <c r="BI60" t="s">
        <v>85</v>
      </c>
      <c r="BJ60" t="s">
        <v>4</v>
      </c>
      <c r="BL60" t="s">
        <v>84</v>
      </c>
      <c r="BM60">
        <v>34</v>
      </c>
      <c r="BN60">
        <v>161.59</v>
      </c>
      <c r="BO60">
        <v>4</v>
      </c>
      <c r="BP60" t="s">
        <v>85</v>
      </c>
      <c r="BQ60" t="s">
        <v>4</v>
      </c>
      <c r="BS60" t="s">
        <v>84</v>
      </c>
      <c r="BT60">
        <v>48</v>
      </c>
      <c r="BU60">
        <v>95.98</v>
      </c>
      <c r="BV60">
        <v>8</v>
      </c>
      <c r="BW60" t="s">
        <v>85</v>
      </c>
      <c r="BX60" t="s">
        <v>4</v>
      </c>
    </row>
    <row r="61" spans="1:76" x14ac:dyDescent="0.25">
      <c r="A61" t="s">
        <v>84</v>
      </c>
      <c r="B61">
        <v>60</v>
      </c>
      <c r="C61">
        <v>105.72</v>
      </c>
      <c r="D61">
        <v>2</v>
      </c>
      <c r="E61" t="s">
        <v>85</v>
      </c>
      <c r="F61" t="s">
        <v>3</v>
      </c>
      <c r="H61" t="s">
        <v>84</v>
      </c>
      <c r="I61">
        <v>66</v>
      </c>
      <c r="J61">
        <v>110.56</v>
      </c>
      <c r="K61">
        <v>4</v>
      </c>
      <c r="L61" t="s">
        <v>85</v>
      </c>
      <c r="M61" t="s">
        <v>3</v>
      </c>
      <c r="O61" t="s">
        <v>84</v>
      </c>
      <c r="P61">
        <v>72</v>
      </c>
      <c r="Q61">
        <v>152</v>
      </c>
      <c r="R61">
        <v>8</v>
      </c>
      <c r="S61" t="s">
        <v>85</v>
      </c>
      <c r="T61" t="s">
        <v>3</v>
      </c>
      <c r="V61" t="s">
        <v>84</v>
      </c>
      <c r="W61">
        <v>74</v>
      </c>
      <c r="X61">
        <v>133.07</v>
      </c>
      <c r="Y61">
        <v>2</v>
      </c>
      <c r="Z61" t="s">
        <v>85</v>
      </c>
      <c r="AA61" t="s">
        <v>5</v>
      </c>
      <c r="AC61" t="s">
        <v>84</v>
      </c>
      <c r="AD61">
        <v>2</v>
      </c>
      <c r="AE61">
        <v>95.43</v>
      </c>
      <c r="AF61">
        <v>8</v>
      </c>
      <c r="AG61" t="s">
        <v>85</v>
      </c>
      <c r="AH61" t="s">
        <v>5</v>
      </c>
      <c r="AJ61" t="s">
        <v>84</v>
      </c>
      <c r="AK61">
        <v>81</v>
      </c>
      <c r="AL61">
        <v>203</v>
      </c>
      <c r="AM61">
        <v>6</v>
      </c>
      <c r="AN61" t="s">
        <v>85</v>
      </c>
      <c r="AO61" t="s">
        <v>5</v>
      </c>
      <c r="AQ61" t="s">
        <v>84</v>
      </c>
      <c r="AR61">
        <v>13</v>
      </c>
      <c r="AS61">
        <v>100.9</v>
      </c>
      <c r="AT61">
        <v>2</v>
      </c>
      <c r="AU61" t="s">
        <v>85</v>
      </c>
      <c r="AV61" t="s">
        <v>6</v>
      </c>
      <c r="AX61" t="s">
        <v>84</v>
      </c>
      <c r="AY61">
        <v>30</v>
      </c>
      <c r="AZ61">
        <v>129.97</v>
      </c>
      <c r="BA61">
        <v>4</v>
      </c>
      <c r="BB61" t="s">
        <v>85</v>
      </c>
      <c r="BC61" t="s">
        <v>6</v>
      </c>
      <c r="BE61" t="s">
        <v>84</v>
      </c>
      <c r="BF61">
        <v>21</v>
      </c>
      <c r="BG61">
        <v>90.64</v>
      </c>
      <c r="BH61">
        <v>2</v>
      </c>
      <c r="BI61" t="s">
        <v>85</v>
      </c>
      <c r="BJ61" t="s">
        <v>4</v>
      </c>
      <c r="BL61" t="s">
        <v>84</v>
      </c>
      <c r="BM61">
        <v>35</v>
      </c>
      <c r="BN61">
        <v>141.06</v>
      </c>
      <c r="BO61">
        <v>4</v>
      </c>
      <c r="BP61" t="s">
        <v>85</v>
      </c>
      <c r="BQ61" t="s">
        <v>4</v>
      </c>
      <c r="BS61" t="s">
        <v>84</v>
      </c>
      <c r="BT61">
        <v>49</v>
      </c>
      <c r="BU61">
        <v>96.49</v>
      </c>
      <c r="BV61">
        <v>8</v>
      </c>
      <c r="BW61" t="s">
        <v>85</v>
      </c>
      <c r="BX61" t="s">
        <v>4</v>
      </c>
    </row>
    <row r="62" spans="1:76" x14ac:dyDescent="0.25">
      <c r="A62" t="s">
        <v>84</v>
      </c>
      <c r="B62">
        <v>61</v>
      </c>
      <c r="C62">
        <v>100.28</v>
      </c>
      <c r="D62">
        <v>2</v>
      </c>
      <c r="E62" t="s">
        <v>85</v>
      </c>
      <c r="F62" t="s">
        <v>3</v>
      </c>
      <c r="H62" t="s">
        <v>84</v>
      </c>
      <c r="I62">
        <v>67</v>
      </c>
      <c r="J62">
        <v>122.69</v>
      </c>
      <c r="K62">
        <v>4</v>
      </c>
      <c r="L62" t="s">
        <v>85</v>
      </c>
      <c r="M62" t="s">
        <v>3</v>
      </c>
      <c r="O62" t="s">
        <v>84</v>
      </c>
      <c r="P62">
        <v>73</v>
      </c>
      <c r="Q62">
        <v>112</v>
      </c>
      <c r="R62">
        <v>8</v>
      </c>
      <c r="S62" t="s">
        <v>85</v>
      </c>
      <c r="T62" t="s">
        <v>3</v>
      </c>
      <c r="V62" t="s">
        <v>84</v>
      </c>
      <c r="W62">
        <v>76</v>
      </c>
      <c r="X62">
        <v>174.57</v>
      </c>
      <c r="Y62">
        <v>2</v>
      </c>
      <c r="Z62" t="s">
        <v>85</v>
      </c>
      <c r="AA62" t="s">
        <v>5</v>
      </c>
      <c r="AC62" t="s">
        <v>84</v>
      </c>
      <c r="AD62">
        <v>3</v>
      </c>
      <c r="AE62">
        <v>89.48</v>
      </c>
      <c r="AF62">
        <v>8</v>
      </c>
      <c r="AG62" t="s">
        <v>85</v>
      </c>
      <c r="AH62" t="s">
        <v>5</v>
      </c>
      <c r="AJ62" t="s">
        <v>84</v>
      </c>
      <c r="AK62">
        <v>82</v>
      </c>
      <c r="AL62">
        <v>156.07</v>
      </c>
      <c r="AM62">
        <v>6</v>
      </c>
      <c r="AN62" t="s">
        <v>85</v>
      </c>
      <c r="AO62" t="s">
        <v>5</v>
      </c>
      <c r="AQ62" t="s">
        <v>84</v>
      </c>
      <c r="AR62">
        <v>14</v>
      </c>
      <c r="AS62">
        <v>102</v>
      </c>
      <c r="AT62">
        <v>2</v>
      </c>
      <c r="AU62" t="s">
        <v>85</v>
      </c>
      <c r="AV62" t="s">
        <v>6</v>
      </c>
      <c r="AX62" t="s">
        <v>84</v>
      </c>
      <c r="AY62">
        <v>31</v>
      </c>
      <c r="AZ62">
        <v>156.59</v>
      </c>
      <c r="BA62">
        <v>4</v>
      </c>
      <c r="BB62" t="s">
        <v>85</v>
      </c>
      <c r="BC62" t="s">
        <v>6</v>
      </c>
      <c r="BE62" t="s">
        <v>84</v>
      </c>
      <c r="BF62">
        <v>22</v>
      </c>
      <c r="BG62">
        <v>94.29</v>
      </c>
      <c r="BH62">
        <v>2</v>
      </c>
      <c r="BI62" t="s">
        <v>85</v>
      </c>
      <c r="BJ62" t="s">
        <v>4</v>
      </c>
      <c r="BL62" t="s">
        <v>84</v>
      </c>
      <c r="BM62">
        <v>36</v>
      </c>
      <c r="BN62">
        <v>115.69</v>
      </c>
      <c r="BO62">
        <v>4</v>
      </c>
      <c r="BP62" t="s">
        <v>85</v>
      </c>
      <c r="BQ62" t="s">
        <v>4</v>
      </c>
      <c r="BS62" t="s">
        <v>84</v>
      </c>
      <c r="BT62">
        <v>50</v>
      </c>
      <c r="BU62">
        <v>94.97</v>
      </c>
      <c r="BV62">
        <v>8</v>
      </c>
      <c r="BW62" t="s">
        <v>85</v>
      </c>
      <c r="BX62" t="s">
        <v>4</v>
      </c>
    </row>
    <row r="63" spans="1:76" x14ac:dyDescent="0.25">
      <c r="A63" t="s">
        <v>84</v>
      </c>
      <c r="B63">
        <v>62</v>
      </c>
      <c r="C63">
        <v>100.31</v>
      </c>
      <c r="D63">
        <v>2</v>
      </c>
      <c r="E63" t="s">
        <v>85</v>
      </c>
      <c r="F63" t="s">
        <v>3</v>
      </c>
      <c r="H63" t="s">
        <v>84</v>
      </c>
      <c r="I63">
        <v>68</v>
      </c>
      <c r="J63">
        <v>135</v>
      </c>
      <c r="K63">
        <v>4</v>
      </c>
      <c r="L63" t="s">
        <v>85</v>
      </c>
      <c r="M63" t="s">
        <v>3</v>
      </c>
      <c r="O63" t="s">
        <v>84</v>
      </c>
      <c r="P63">
        <v>74</v>
      </c>
      <c r="Q63">
        <v>111.19</v>
      </c>
      <c r="R63">
        <v>8</v>
      </c>
      <c r="S63" t="s">
        <v>85</v>
      </c>
      <c r="T63" t="s">
        <v>3</v>
      </c>
      <c r="V63" t="s">
        <v>84</v>
      </c>
      <c r="W63">
        <v>84</v>
      </c>
      <c r="X63">
        <v>151.06</v>
      </c>
      <c r="Y63">
        <v>2</v>
      </c>
      <c r="Z63" t="s">
        <v>85</v>
      </c>
      <c r="AA63" t="s">
        <v>5</v>
      </c>
      <c r="AC63" t="s">
        <v>84</v>
      </c>
      <c r="AD63">
        <v>4</v>
      </c>
      <c r="AE63">
        <v>86.37</v>
      </c>
      <c r="AF63">
        <v>8</v>
      </c>
      <c r="AG63" t="s">
        <v>85</v>
      </c>
      <c r="AH63" t="s">
        <v>5</v>
      </c>
      <c r="AJ63" t="s">
        <v>84</v>
      </c>
      <c r="AK63">
        <v>83</v>
      </c>
      <c r="AL63">
        <v>152.56</v>
      </c>
      <c r="AM63">
        <v>6</v>
      </c>
      <c r="AN63" t="s">
        <v>85</v>
      </c>
      <c r="AO63" t="s">
        <v>5</v>
      </c>
      <c r="AQ63" t="s">
        <v>84</v>
      </c>
      <c r="AR63">
        <v>15</v>
      </c>
      <c r="AS63">
        <v>102</v>
      </c>
      <c r="AT63">
        <v>2</v>
      </c>
      <c r="AU63" t="s">
        <v>85</v>
      </c>
      <c r="AV63" t="s">
        <v>6</v>
      </c>
      <c r="AX63" t="s">
        <v>84</v>
      </c>
      <c r="AY63">
        <v>32</v>
      </c>
      <c r="AZ63">
        <v>157</v>
      </c>
      <c r="BA63">
        <v>4</v>
      </c>
      <c r="BB63" t="s">
        <v>85</v>
      </c>
      <c r="BC63" t="s">
        <v>6</v>
      </c>
      <c r="BE63" t="s">
        <v>84</v>
      </c>
      <c r="BF63">
        <v>23</v>
      </c>
      <c r="BG63">
        <v>98.5</v>
      </c>
      <c r="BH63">
        <v>2</v>
      </c>
      <c r="BI63" t="s">
        <v>85</v>
      </c>
      <c r="BJ63" t="s">
        <v>4</v>
      </c>
      <c r="BL63" t="s">
        <v>84</v>
      </c>
      <c r="BM63">
        <v>37</v>
      </c>
      <c r="BN63">
        <v>146</v>
      </c>
      <c r="BO63">
        <v>4</v>
      </c>
      <c r="BP63" t="s">
        <v>85</v>
      </c>
      <c r="BQ63" t="s">
        <v>4</v>
      </c>
      <c r="BS63" t="s">
        <v>84</v>
      </c>
      <c r="BT63">
        <v>51</v>
      </c>
      <c r="BU63">
        <v>85.97</v>
      </c>
      <c r="BV63">
        <v>8</v>
      </c>
      <c r="BW63" t="s">
        <v>85</v>
      </c>
      <c r="BX63" t="s">
        <v>4</v>
      </c>
    </row>
    <row r="64" spans="1:76" x14ac:dyDescent="0.25">
      <c r="A64" t="s">
        <v>84</v>
      </c>
      <c r="B64">
        <v>63</v>
      </c>
      <c r="C64">
        <v>105.31</v>
      </c>
      <c r="D64">
        <v>2</v>
      </c>
      <c r="E64" t="s">
        <v>85</v>
      </c>
      <c r="F64" t="s">
        <v>3</v>
      </c>
      <c r="H64" t="s">
        <v>84</v>
      </c>
      <c r="I64">
        <v>69</v>
      </c>
      <c r="J64">
        <v>108.28</v>
      </c>
      <c r="K64">
        <v>4</v>
      </c>
      <c r="L64" t="s">
        <v>85</v>
      </c>
      <c r="M64" t="s">
        <v>3</v>
      </c>
      <c r="O64" t="s">
        <v>84</v>
      </c>
      <c r="P64">
        <v>75</v>
      </c>
      <c r="Q64">
        <v>132.9</v>
      </c>
      <c r="R64">
        <v>8</v>
      </c>
      <c r="S64" t="s">
        <v>85</v>
      </c>
      <c r="T64" t="s">
        <v>3</v>
      </c>
      <c r="V64" t="s">
        <v>84</v>
      </c>
      <c r="W64">
        <v>85</v>
      </c>
      <c r="X64">
        <v>151.86000000000001</v>
      </c>
      <c r="Y64">
        <v>2</v>
      </c>
      <c r="Z64" t="s">
        <v>85</v>
      </c>
      <c r="AA64" t="s">
        <v>5</v>
      </c>
      <c r="AC64" t="s">
        <v>84</v>
      </c>
      <c r="AD64">
        <v>5</v>
      </c>
      <c r="AE64">
        <v>89.48</v>
      </c>
      <c r="AF64">
        <v>8</v>
      </c>
      <c r="AG64" t="s">
        <v>85</v>
      </c>
      <c r="AH64" t="s">
        <v>5</v>
      </c>
      <c r="AJ64" t="s">
        <v>84</v>
      </c>
      <c r="AK64">
        <v>86</v>
      </c>
      <c r="AL64">
        <v>153.82</v>
      </c>
      <c r="AM64">
        <v>6</v>
      </c>
      <c r="AN64" t="s">
        <v>85</v>
      </c>
      <c r="AO64" t="s">
        <v>5</v>
      </c>
      <c r="AQ64" t="s">
        <v>84</v>
      </c>
      <c r="AR64">
        <v>16</v>
      </c>
      <c r="AS64">
        <v>102.43</v>
      </c>
      <c r="AT64">
        <v>2</v>
      </c>
      <c r="AU64" t="s">
        <v>85</v>
      </c>
      <c r="AV64" t="s">
        <v>6</v>
      </c>
      <c r="AX64" t="s">
        <v>84</v>
      </c>
      <c r="AY64">
        <v>33</v>
      </c>
      <c r="AZ64">
        <v>159.1</v>
      </c>
      <c r="BA64">
        <v>4</v>
      </c>
      <c r="BB64" t="s">
        <v>85</v>
      </c>
      <c r="BC64" t="s">
        <v>6</v>
      </c>
      <c r="BE64" t="s">
        <v>84</v>
      </c>
      <c r="BF64">
        <v>24</v>
      </c>
      <c r="BG64">
        <v>110.11</v>
      </c>
      <c r="BH64">
        <v>2</v>
      </c>
      <c r="BI64" t="s">
        <v>85</v>
      </c>
      <c r="BJ64" t="s">
        <v>4</v>
      </c>
      <c r="BL64" t="s">
        <v>84</v>
      </c>
      <c r="BM64">
        <v>38</v>
      </c>
      <c r="BN64">
        <v>122</v>
      </c>
      <c r="BO64">
        <v>4</v>
      </c>
      <c r="BP64" t="s">
        <v>85</v>
      </c>
      <c r="BQ64" t="s">
        <v>4</v>
      </c>
      <c r="BS64" t="s">
        <v>84</v>
      </c>
      <c r="BT64">
        <v>52</v>
      </c>
      <c r="BU64">
        <v>85.97</v>
      </c>
      <c r="BV64">
        <v>8</v>
      </c>
      <c r="BW64" t="s">
        <v>85</v>
      </c>
      <c r="BX64" t="s">
        <v>4</v>
      </c>
    </row>
    <row r="65" spans="1:76" x14ac:dyDescent="0.25">
      <c r="A65" t="s">
        <v>84</v>
      </c>
      <c r="B65">
        <v>64</v>
      </c>
      <c r="C65">
        <v>106.49</v>
      </c>
      <c r="D65">
        <v>2</v>
      </c>
      <c r="E65" t="s">
        <v>85</v>
      </c>
      <c r="F65" t="s">
        <v>3</v>
      </c>
      <c r="H65" t="s">
        <v>84</v>
      </c>
      <c r="I65">
        <v>70</v>
      </c>
      <c r="J65">
        <v>120.71</v>
      </c>
      <c r="K65">
        <v>4</v>
      </c>
      <c r="L65" t="s">
        <v>85</v>
      </c>
      <c r="M65" t="s">
        <v>3</v>
      </c>
      <c r="O65" t="s">
        <v>84</v>
      </c>
      <c r="P65">
        <v>76</v>
      </c>
      <c r="Q65">
        <v>142.36000000000001</v>
      </c>
      <c r="R65">
        <v>8</v>
      </c>
      <c r="S65" t="s">
        <v>85</v>
      </c>
      <c r="T65" t="s">
        <v>3</v>
      </c>
      <c r="V65" t="s">
        <v>84</v>
      </c>
      <c r="W65">
        <v>88</v>
      </c>
      <c r="X65">
        <v>105.5</v>
      </c>
      <c r="Y65">
        <v>2</v>
      </c>
      <c r="Z65" t="s">
        <v>85</v>
      </c>
      <c r="AA65" t="s">
        <v>5</v>
      </c>
      <c r="AC65" t="s">
        <v>84</v>
      </c>
      <c r="AD65">
        <v>6</v>
      </c>
      <c r="AE65">
        <v>89.48</v>
      </c>
      <c r="AF65">
        <v>8</v>
      </c>
      <c r="AG65" t="s">
        <v>85</v>
      </c>
      <c r="AH65" t="s">
        <v>5</v>
      </c>
      <c r="AJ65" t="s">
        <v>84</v>
      </c>
      <c r="AK65">
        <v>87</v>
      </c>
      <c r="AL65">
        <v>152.56</v>
      </c>
      <c r="AM65">
        <v>6</v>
      </c>
      <c r="AN65" t="s">
        <v>85</v>
      </c>
      <c r="AO65" t="s">
        <v>5</v>
      </c>
      <c r="AQ65" t="s">
        <v>84</v>
      </c>
      <c r="AR65">
        <v>17</v>
      </c>
      <c r="AS65">
        <v>96.04</v>
      </c>
      <c r="AT65">
        <v>2</v>
      </c>
      <c r="AU65" t="s">
        <v>85</v>
      </c>
      <c r="AV65" t="s">
        <v>6</v>
      </c>
      <c r="AX65" t="s">
        <v>84</v>
      </c>
      <c r="AY65">
        <v>35</v>
      </c>
      <c r="AZ65">
        <v>136.06</v>
      </c>
      <c r="BA65">
        <v>4</v>
      </c>
      <c r="BB65" t="s">
        <v>85</v>
      </c>
      <c r="BC65" t="s">
        <v>6</v>
      </c>
      <c r="BE65" t="s">
        <v>84</v>
      </c>
      <c r="BF65">
        <v>25</v>
      </c>
      <c r="BG65">
        <v>96.08</v>
      </c>
      <c r="BH65">
        <v>2</v>
      </c>
      <c r="BI65" t="s">
        <v>85</v>
      </c>
      <c r="BJ65" t="s">
        <v>4</v>
      </c>
      <c r="BL65" t="s">
        <v>84</v>
      </c>
      <c r="BM65">
        <v>39</v>
      </c>
      <c r="BN65">
        <v>114.43</v>
      </c>
      <c r="BO65">
        <v>4</v>
      </c>
      <c r="BP65" t="s">
        <v>85</v>
      </c>
      <c r="BQ65" t="s">
        <v>4</v>
      </c>
      <c r="BS65" t="s">
        <v>84</v>
      </c>
      <c r="BT65">
        <v>53</v>
      </c>
      <c r="BU65">
        <v>86.45</v>
      </c>
      <c r="BV65">
        <v>8</v>
      </c>
      <c r="BW65" t="s">
        <v>85</v>
      </c>
      <c r="BX65" t="s">
        <v>4</v>
      </c>
    </row>
    <row r="66" spans="1:76" x14ac:dyDescent="0.25">
      <c r="A66" t="s">
        <v>84</v>
      </c>
      <c r="B66">
        <v>65</v>
      </c>
      <c r="C66">
        <v>101.5</v>
      </c>
      <c r="D66">
        <v>2</v>
      </c>
      <c r="E66" t="s">
        <v>85</v>
      </c>
      <c r="F66" t="s">
        <v>3</v>
      </c>
      <c r="H66" t="s">
        <v>84</v>
      </c>
      <c r="I66">
        <v>71</v>
      </c>
      <c r="J66">
        <v>136.77000000000001</v>
      </c>
      <c r="K66">
        <v>4</v>
      </c>
      <c r="L66" t="s">
        <v>85</v>
      </c>
      <c r="M66" t="s">
        <v>3</v>
      </c>
      <c r="O66" t="s">
        <v>84</v>
      </c>
      <c r="P66">
        <v>77</v>
      </c>
      <c r="Q66">
        <v>126.6</v>
      </c>
      <c r="R66">
        <v>8</v>
      </c>
      <c r="S66" t="s">
        <v>85</v>
      </c>
      <c r="T66" t="s">
        <v>3</v>
      </c>
      <c r="V66" t="s">
        <v>84</v>
      </c>
      <c r="W66">
        <v>89</v>
      </c>
      <c r="X66">
        <v>131.5</v>
      </c>
      <c r="Y66">
        <v>2</v>
      </c>
      <c r="Z66" t="s">
        <v>85</v>
      </c>
      <c r="AA66" t="s">
        <v>5</v>
      </c>
      <c r="AC66" t="s">
        <v>84</v>
      </c>
      <c r="AD66">
        <v>7</v>
      </c>
      <c r="AE66">
        <v>95.48</v>
      </c>
      <c r="AF66">
        <v>8</v>
      </c>
      <c r="AG66" t="s">
        <v>85</v>
      </c>
      <c r="AH66" t="s">
        <v>5</v>
      </c>
      <c r="AJ66" t="s">
        <v>84</v>
      </c>
      <c r="AK66">
        <v>1</v>
      </c>
      <c r="AL66">
        <v>116.09</v>
      </c>
      <c r="AM66">
        <v>1</v>
      </c>
      <c r="AN66" t="s">
        <v>85</v>
      </c>
      <c r="AO66" t="s">
        <v>6</v>
      </c>
      <c r="AQ66" t="s">
        <v>84</v>
      </c>
      <c r="AR66">
        <v>18</v>
      </c>
      <c r="AS66">
        <v>97.38</v>
      </c>
      <c r="AT66">
        <v>2</v>
      </c>
      <c r="AU66" t="s">
        <v>85</v>
      </c>
      <c r="AV66" t="s">
        <v>6</v>
      </c>
      <c r="AX66" t="s">
        <v>84</v>
      </c>
      <c r="AY66">
        <v>36</v>
      </c>
      <c r="AZ66">
        <v>110.69</v>
      </c>
      <c r="BA66">
        <v>4</v>
      </c>
      <c r="BB66" t="s">
        <v>85</v>
      </c>
      <c r="BC66" t="s">
        <v>6</v>
      </c>
      <c r="BE66" t="s">
        <v>84</v>
      </c>
      <c r="BF66">
        <v>26</v>
      </c>
      <c r="BG66">
        <v>109.17</v>
      </c>
      <c r="BH66">
        <v>2</v>
      </c>
      <c r="BI66" t="s">
        <v>85</v>
      </c>
      <c r="BJ66" t="s">
        <v>4</v>
      </c>
      <c r="BL66" t="s">
        <v>84</v>
      </c>
      <c r="BM66">
        <v>40</v>
      </c>
      <c r="BN66">
        <v>97.52</v>
      </c>
      <c r="BO66">
        <v>4</v>
      </c>
      <c r="BP66" t="s">
        <v>85</v>
      </c>
      <c r="BQ66" t="s">
        <v>4</v>
      </c>
      <c r="BS66" t="s">
        <v>84</v>
      </c>
      <c r="BT66">
        <v>54</v>
      </c>
      <c r="BU66">
        <v>88.08</v>
      </c>
      <c r="BV66">
        <v>8</v>
      </c>
      <c r="BW66" t="s">
        <v>85</v>
      </c>
      <c r="BX66" t="s">
        <v>4</v>
      </c>
    </row>
    <row r="67" spans="1:76" x14ac:dyDescent="0.25">
      <c r="A67" t="s">
        <v>84</v>
      </c>
      <c r="B67">
        <v>66</v>
      </c>
      <c r="C67">
        <v>115.06</v>
      </c>
      <c r="D67">
        <v>2</v>
      </c>
      <c r="E67" t="s">
        <v>85</v>
      </c>
      <c r="F67" t="s">
        <v>3</v>
      </c>
      <c r="H67" t="s">
        <v>84</v>
      </c>
      <c r="I67">
        <v>72</v>
      </c>
      <c r="J67">
        <v>157</v>
      </c>
      <c r="K67">
        <v>4</v>
      </c>
      <c r="L67" t="s">
        <v>85</v>
      </c>
      <c r="M67" t="s">
        <v>3</v>
      </c>
      <c r="O67" t="s">
        <v>84</v>
      </c>
      <c r="P67">
        <v>78</v>
      </c>
      <c r="Q67">
        <v>142.36000000000001</v>
      </c>
      <c r="R67">
        <v>8</v>
      </c>
      <c r="S67" t="s">
        <v>85</v>
      </c>
      <c r="T67" t="s">
        <v>3</v>
      </c>
      <c r="V67" t="s">
        <v>84</v>
      </c>
      <c r="W67">
        <v>90</v>
      </c>
      <c r="X67">
        <v>125.25</v>
      </c>
      <c r="Y67">
        <v>2</v>
      </c>
      <c r="Z67" t="s">
        <v>85</v>
      </c>
      <c r="AA67" t="s">
        <v>5</v>
      </c>
      <c r="AC67" t="s">
        <v>84</v>
      </c>
      <c r="AD67">
        <v>8</v>
      </c>
      <c r="AE67">
        <v>95.48</v>
      </c>
      <c r="AF67">
        <v>8</v>
      </c>
      <c r="AG67" t="s">
        <v>85</v>
      </c>
      <c r="AH67" t="s">
        <v>5</v>
      </c>
      <c r="AJ67" t="s">
        <v>84</v>
      </c>
      <c r="AK67">
        <v>2</v>
      </c>
      <c r="AL67">
        <v>104.93</v>
      </c>
      <c r="AM67">
        <v>1</v>
      </c>
      <c r="AN67" t="s">
        <v>85</v>
      </c>
      <c r="AO67" t="s">
        <v>6</v>
      </c>
      <c r="AQ67" t="s">
        <v>84</v>
      </c>
      <c r="AR67">
        <v>19</v>
      </c>
      <c r="AS67">
        <v>100.48</v>
      </c>
      <c r="AT67">
        <v>2</v>
      </c>
      <c r="AU67" t="s">
        <v>85</v>
      </c>
      <c r="AV67" t="s">
        <v>6</v>
      </c>
      <c r="AX67" t="s">
        <v>84</v>
      </c>
      <c r="AY67">
        <v>37</v>
      </c>
      <c r="AZ67">
        <v>141</v>
      </c>
      <c r="BA67">
        <v>4</v>
      </c>
      <c r="BB67" t="s">
        <v>85</v>
      </c>
      <c r="BC67" t="s">
        <v>6</v>
      </c>
      <c r="BE67" t="s">
        <v>84</v>
      </c>
      <c r="BF67">
        <v>27</v>
      </c>
      <c r="BG67">
        <v>124.96</v>
      </c>
      <c r="BH67">
        <v>2</v>
      </c>
      <c r="BI67" t="s">
        <v>85</v>
      </c>
      <c r="BJ67" t="s">
        <v>4</v>
      </c>
      <c r="BL67" t="s">
        <v>84</v>
      </c>
      <c r="BM67">
        <v>41</v>
      </c>
      <c r="BN67">
        <v>122</v>
      </c>
      <c r="BO67">
        <v>4</v>
      </c>
      <c r="BP67" t="s">
        <v>85</v>
      </c>
      <c r="BQ67" t="s">
        <v>4</v>
      </c>
      <c r="BS67" t="s">
        <v>84</v>
      </c>
      <c r="BT67">
        <v>55</v>
      </c>
      <c r="BU67">
        <v>89.57</v>
      </c>
      <c r="BV67">
        <v>8</v>
      </c>
      <c r="BW67" t="s">
        <v>85</v>
      </c>
      <c r="BX67" t="s">
        <v>4</v>
      </c>
    </row>
    <row r="68" spans="1:76" x14ac:dyDescent="0.25">
      <c r="A68" t="s">
        <v>84</v>
      </c>
      <c r="B68">
        <v>67</v>
      </c>
      <c r="C68">
        <v>127.19</v>
      </c>
      <c r="D68">
        <v>2</v>
      </c>
      <c r="E68" t="s">
        <v>85</v>
      </c>
      <c r="F68" t="s">
        <v>3</v>
      </c>
      <c r="H68" t="s">
        <v>84</v>
      </c>
      <c r="I68">
        <v>73</v>
      </c>
      <c r="J68">
        <v>117</v>
      </c>
      <c r="K68">
        <v>4</v>
      </c>
      <c r="L68" t="s">
        <v>85</v>
      </c>
      <c r="M68" t="s">
        <v>3</v>
      </c>
      <c r="O68" t="s">
        <v>84</v>
      </c>
      <c r="P68">
        <v>79</v>
      </c>
      <c r="Q68">
        <v>129.53</v>
      </c>
      <c r="R68">
        <v>8</v>
      </c>
      <c r="S68" t="s">
        <v>85</v>
      </c>
      <c r="T68" t="s">
        <v>3</v>
      </c>
      <c r="V68" t="s">
        <v>84</v>
      </c>
      <c r="W68">
        <v>91</v>
      </c>
      <c r="X68">
        <v>112.4</v>
      </c>
      <c r="Y68">
        <v>2</v>
      </c>
      <c r="Z68" t="s">
        <v>85</v>
      </c>
      <c r="AA68" t="s">
        <v>5</v>
      </c>
      <c r="AC68" t="s">
        <v>84</v>
      </c>
      <c r="AD68">
        <v>9</v>
      </c>
      <c r="AE68">
        <v>95.48</v>
      </c>
      <c r="AF68">
        <v>8</v>
      </c>
      <c r="AG68" t="s">
        <v>85</v>
      </c>
      <c r="AH68" t="s">
        <v>5</v>
      </c>
      <c r="AJ68" t="s">
        <v>84</v>
      </c>
      <c r="AK68">
        <v>3</v>
      </c>
      <c r="AL68">
        <v>98.98</v>
      </c>
      <c r="AM68">
        <v>1</v>
      </c>
      <c r="AN68" t="s">
        <v>85</v>
      </c>
      <c r="AO68" t="s">
        <v>6</v>
      </c>
      <c r="AQ68" t="s">
        <v>84</v>
      </c>
      <c r="AR68">
        <v>20</v>
      </c>
      <c r="AS68">
        <v>87.61</v>
      </c>
      <c r="AT68">
        <v>2</v>
      </c>
      <c r="AU68" t="s">
        <v>85</v>
      </c>
      <c r="AV68" t="s">
        <v>6</v>
      </c>
      <c r="AX68" t="s">
        <v>84</v>
      </c>
      <c r="AY68">
        <v>38</v>
      </c>
      <c r="AZ68">
        <v>117</v>
      </c>
      <c r="BA68">
        <v>4</v>
      </c>
      <c r="BB68" t="s">
        <v>85</v>
      </c>
      <c r="BC68" t="s">
        <v>6</v>
      </c>
      <c r="BE68" t="s">
        <v>84</v>
      </c>
      <c r="BF68">
        <v>28</v>
      </c>
      <c r="BG68">
        <v>138.28</v>
      </c>
      <c r="BH68">
        <v>2</v>
      </c>
      <c r="BI68" t="s">
        <v>85</v>
      </c>
      <c r="BJ68" t="s">
        <v>4</v>
      </c>
      <c r="BL68" t="s">
        <v>84</v>
      </c>
      <c r="BM68">
        <v>42</v>
      </c>
      <c r="BN68">
        <v>111.64</v>
      </c>
      <c r="BO68">
        <v>4</v>
      </c>
      <c r="BP68" t="s">
        <v>85</v>
      </c>
      <c r="BQ68" t="s">
        <v>4</v>
      </c>
      <c r="BS68" t="s">
        <v>84</v>
      </c>
      <c r="BT68">
        <v>56</v>
      </c>
      <c r="BU68">
        <v>92</v>
      </c>
      <c r="BV68">
        <v>8</v>
      </c>
      <c r="BW68" t="s">
        <v>85</v>
      </c>
      <c r="BX68" t="s">
        <v>4</v>
      </c>
    </row>
    <row r="69" spans="1:76" x14ac:dyDescent="0.25">
      <c r="A69" t="s">
        <v>84</v>
      </c>
      <c r="B69">
        <v>68</v>
      </c>
      <c r="C69">
        <v>139.5</v>
      </c>
      <c r="D69">
        <v>2</v>
      </c>
      <c r="E69" t="s">
        <v>85</v>
      </c>
      <c r="F69" t="s">
        <v>3</v>
      </c>
      <c r="H69" t="s">
        <v>84</v>
      </c>
      <c r="I69">
        <v>74</v>
      </c>
      <c r="J69">
        <v>116.19</v>
      </c>
      <c r="K69">
        <v>4</v>
      </c>
      <c r="L69" t="s">
        <v>85</v>
      </c>
      <c r="M69" t="s">
        <v>3</v>
      </c>
      <c r="O69" t="s">
        <v>84</v>
      </c>
      <c r="P69">
        <v>80</v>
      </c>
      <c r="Q69">
        <v>111.69</v>
      </c>
      <c r="R69">
        <v>8</v>
      </c>
      <c r="S69" t="s">
        <v>85</v>
      </c>
      <c r="T69" t="s">
        <v>3</v>
      </c>
      <c r="V69" t="s">
        <v>84</v>
      </c>
      <c r="W69">
        <v>92</v>
      </c>
      <c r="X69">
        <v>104.84</v>
      </c>
      <c r="Y69">
        <v>2</v>
      </c>
      <c r="Z69" t="s">
        <v>85</v>
      </c>
      <c r="AA69" t="s">
        <v>5</v>
      </c>
      <c r="AC69" t="s">
        <v>84</v>
      </c>
      <c r="AD69">
        <v>10</v>
      </c>
      <c r="AE69">
        <v>95.48</v>
      </c>
      <c r="AF69">
        <v>8</v>
      </c>
      <c r="AG69" t="s">
        <v>85</v>
      </c>
      <c r="AH69" t="s">
        <v>5</v>
      </c>
      <c r="AJ69" t="s">
        <v>84</v>
      </c>
      <c r="AK69">
        <v>4</v>
      </c>
      <c r="AL69">
        <v>95.87</v>
      </c>
      <c r="AM69">
        <v>1</v>
      </c>
      <c r="AN69" t="s">
        <v>85</v>
      </c>
      <c r="AO69" t="s">
        <v>6</v>
      </c>
      <c r="AQ69" t="s">
        <v>84</v>
      </c>
      <c r="AR69">
        <v>21</v>
      </c>
      <c r="AS69">
        <v>86.14</v>
      </c>
      <c r="AT69">
        <v>2</v>
      </c>
      <c r="AU69" t="s">
        <v>85</v>
      </c>
      <c r="AV69" t="s">
        <v>6</v>
      </c>
      <c r="AX69" t="s">
        <v>84</v>
      </c>
      <c r="AY69">
        <v>39</v>
      </c>
      <c r="AZ69">
        <v>109.43</v>
      </c>
      <c r="BA69">
        <v>4</v>
      </c>
      <c r="BB69" t="s">
        <v>85</v>
      </c>
      <c r="BC69" t="s">
        <v>6</v>
      </c>
      <c r="BE69" t="s">
        <v>84</v>
      </c>
      <c r="BF69">
        <v>29</v>
      </c>
      <c r="BG69">
        <v>114.19</v>
      </c>
      <c r="BH69">
        <v>2</v>
      </c>
      <c r="BI69" t="s">
        <v>85</v>
      </c>
      <c r="BJ69" t="s">
        <v>4</v>
      </c>
      <c r="BL69" t="s">
        <v>84</v>
      </c>
      <c r="BM69">
        <v>43</v>
      </c>
      <c r="BN69">
        <v>96.09</v>
      </c>
      <c r="BO69">
        <v>4</v>
      </c>
      <c r="BP69" t="s">
        <v>85</v>
      </c>
      <c r="BQ69" t="s">
        <v>4</v>
      </c>
      <c r="BS69" t="s">
        <v>84</v>
      </c>
      <c r="BT69">
        <v>57</v>
      </c>
      <c r="BU69">
        <v>92.7</v>
      </c>
      <c r="BV69">
        <v>8</v>
      </c>
      <c r="BW69" t="s">
        <v>85</v>
      </c>
      <c r="BX69" t="s">
        <v>4</v>
      </c>
    </row>
    <row r="70" spans="1:76" x14ac:dyDescent="0.25">
      <c r="A70" t="s">
        <v>84</v>
      </c>
      <c r="B70">
        <v>69</v>
      </c>
      <c r="C70">
        <v>112.78</v>
      </c>
      <c r="D70">
        <v>2</v>
      </c>
      <c r="E70" t="s">
        <v>85</v>
      </c>
      <c r="F70" t="s">
        <v>3</v>
      </c>
      <c r="H70" t="s">
        <v>84</v>
      </c>
      <c r="I70">
        <v>75</v>
      </c>
      <c r="J70">
        <v>137.9</v>
      </c>
      <c r="K70">
        <v>4</v>
      </c>
      <c r="L70" t="s">
        <v>85</v>
      </c>
      <c r="M70" t="s">
        <v>3</v>
      </c>
      <c r="O70" t="s">
        <v>84</v>
      </c>
      <c r="P70">
        <v>81</v>
      </c>
      <c r="Q70">
        <v>132</v>
      </c>
      <c r="R70">
        <v>8</v>
      </c>
      <c r="S70" t="s">
        <v>85</v>
      </c>
      <c r="T70" t="s">
        <v>3</v>
      </c>
      <c r="V70" t="s">
        <v>84</v>
      </c>
      <c r="W70">
        <v>93</v>
      </c>
      <c r="X70">
        <v>120.78</v>
      </c>
      <c r="Y70">
        <v>2</v>
      </c>
      <c r="Z70" t="s">
        <v>85</v>
      </c>
      <c r="AA70" t="s">
        <v>5</v>
      </c>
      <c r="AC70" t="s">
        <v>84</v>
      </c>
      <c r="AD70">
        <v>11</v>
      </c>
      <c r="AE70">
        <v>95.48</v>
      </c>
      <c r="AF70">
        <v>8</v>
      </c>
      <c r="AG70" t="s">
        <v>85</v>
      </c>
      <c r="AH70" t="s">
        <v>5</v>
      </c>
      <c r="AJ70" t="s">
        <v>84</v>
      </c>
      <c r="AK70">
        <v>5</v>
      </c>
      <c r="AL70">
        <v>98.98</v>
      </c>
      <c r="AM70">
        <v>1</v>
      </c>
      <c r="AN70" t="s">
        <v>85</v>
      </c>
      <c r="AO70" t="s">
        <v>6</v>
      </c>
      <c r="AQ70" t="s">
        <v>84</v>
      </c>
      <c r="AR70">
        <v>22</v>
      </c>
      <c r="AS70">
        <v>89.79</v>
      </c>
      <c r="AT70">
        <v>2</v>
      </c>
      <c r="AU70" t="s">
        <v>85</v>
      </c>
      <c r="AV70" t="s">
        <v>6</v>
      </c>
      <c r="AX70" t="s">
        <v>84</v>
      </c>
      <c r="AY70">
        <v>40</v>
      </c>
      <c r="AZ70">
        <v>92.52</v>
      </c>
      <c r="BA70">
        <v>4</v>
      </c>
      <c r="BB70" t="s">
        <v>85</v>
      </c>
      <c r="BC70" t="s">
        <v>6</v>
      </c>
      <c r="BE70" t="s">
        <v>84</v>
      </c>
      <c r="BF70">
        <v>30</v>
      </c>
      <c r="BG70">
        <v>139.47</v>
      </c>
      <c r="BH70">
        <v>2</v>
      </c>
      <c r="BI70" t="s">
        <v>85</v>
      </c>
      <c r="BJ70" t="s">
        <v>4</v>
      </c>
      <c r="BL70" t="s">
        <v>84</v>
      </c>
      <c r="BM70">
        <v>44</v>
      </c>
      <c r="BN70">
        <v>94.29</v>
      </c>
      <c r="BO70">
        <v>4</v>
      </c>
      <c r="BP70" t="s">
        <v>85</v>
      </c>
      <c r="BQ70" t="s">
        <v>4</v>
      </c>
      <c r="BS70" t="s">
        <v>84</v>
      </c>
      <c r="BT70">
        <v>58</v>
      </c>
      <c r="BU70">
        <v>94.62</v>
      </c>
      <c r="BV70">
        <v>8</v>
      </c>
      <c r="BW70" t="s">
        <v>85</v>
      </c>
      <c r="BX70" t="s">
        <v>4</v>
      </c>
    </row>
    <row r="71" spans="1:76" x14ac:dyDescent="0.25">
      <c r="A71" t="s">
        <v>84</v>
      </c>
      <c r="B71">
        <v>70</v>
      </c>
      <c r="C71">
        <v>125.21</v>
      </c>
      <c r="D71">
        <v>2</v>
      </c>
      <c r="E71" t="s">
        <v>85</v>
      </c>
      <c r="F71" t="s">
        <v>3</v>
      </c>
      <c r="H71" t="s">
        <v>84</v>
      </c>
      <c r="I71">
        <v>76</v>
      </c>
      <c r="J71">
        <v>147.36000000000001</v>
      </c>
      <c r="K71">
        <v>4</v>
      </c>
      <c r="L71" t="s">
        <v>85</v>
      </c>
      <c r="M71" t="s">
        <v>3</v>
      </c>
      <c r="O71" t="s">
        <v>84</v>
      </c>
      <c r="P71">
        <v>82</v>
      </c>
      <c r="Q71">
        <v>125.2</v>
      </c>
      <c r="R71">
        <v>8</v>
      </c>
      <c r="S71" t="s">
        <v>85</v>
      </c>
      <c r="T71" t="s">
        <v>3</v>
      </c>
      <c r="V71" t="s">
        <v>84</v>
      </c>
      <c r="W71">
        <v>94</v>
      </c>
      <c r="X71">
        <v>114.54</v>
      </c>
      <c r="Y71">
        <v>2</v>
      </c>
      <c r="Z71" t="s">
        <v>85</v>
      </c>
      <c r="AA71" t="s">
        <v>5</v>
      </c>
      <c r="AC71" t="s">
        <v>84</v>
      </c>
      <c r="AD71">
        <v>12</v>
      </c>
      <c r="AE71">
        <v>95.48</v>
      </c>
      <c r="AF71">
        <v>8</v>
      </c>
      <c r="AG71" t="s">
        <v>85</v>
      </c>
      <c r="AH71" t="s">
        <v>5</v>
      </c>
      <c r="AJ71" t="s">
        <v>84</v>
      </c>
      <c r="AK71">
        <v>6</v>
      </c>
      <c r="AL71">
        <v>98.98</v>
      </c>
      <c r="AM71">
        <v>1</v>
      </c>
      <c r="AN71" t="s">
        <v>85</v>
      </c>
      <c r="AO71" t="s">
        <v>6</v>
      </c>
      <c r="AQ71" t="s">
        <v>84</v>
      </c>
      <c r="AR71">
        <v>23</v>
      </c>
      <c r="AS71">
        <v>94</v>
      </c>
      <c r="AT71">
        <v>2</v>
      </c>
      <c r="AU71" t="s">
        <v>85</v>
      </c>
      <c r="AV71" t="s">
        <v>6</v>
      </c>
      <c r="AX71" t="s">
        <v>84</v>
      </c>
      <c r="AY71">
        <v>41</v>
      </c>
      <c r="AZ71">
        <v>111.06</v>
      </c>
      <c r="BA71">
        <v>4</v>
      </c>
      <c r="BB71" t="s">
        <v>85</v>
      </c>
      <c r="BC71" t="s">
        <v>6</v>
      </c>
      <c r="BE71" t="s">
        <v>84</v>
      </c>
      <c r="BF71">
        <v>31</v>
      </c>
      <c r="BG71">
        <v>166.09</v>
      </c>
      <c r="BH71">
        <v>2</v>
      </c>
      <c r="BI71" t="s">
        <v>85</v>
      </c>
      <c r="BJ71" t="s">
        <v>4</v>
      </c>
      <c r="BL71" t="s">
        <v>84</v>
      </c>
      <c r="BM71">
        <v>45</v>
      </c>
      <c r="BN71">
        <v>98.11</v>
      </c>
      <c r="BO71">
        <v>4</v>
      </c>
      <c r="BP71" t="s">
        <v>85</v>
      </c>
      <c r="BQ71" t="s">
        <v>4</v>
      </c>
      <c r="BS71" t="s">
        <v>84</v>
      </c>
      <c r="BT71">
        <v>59</v>
      </c>
      <c r="BU71">
        <v>97</v>
      </c>
      <c r="BV71">
        <v>8</v>
      </c>
      <c r="BW71" t="s">
        <v>85</v>
      </c>
      <c r="BX71" t="s">
        <v>4</v>
      </c>
    </row>
    <row r="72" spans="1:76" x14ac:dyDescent="0.25">
      <c r="A72" t="s">
        <v>84</v>
      </c>
      <c r="B72">
        <v>71</v>
      </c>
      <c r="C72">
        <v>141.27000000000001</v>
      </c>
      <c r="D72">
        <v>2</v>
      </c>
      <c r="E72" t="s">
        <v>85</v>
      </c>
      <c r="F72" t="s">
        <v>3</v>
      </c>
      <c r="H72" t="s">
        <v>84</v>
      </c>
      <c r="I72">
        <v>77</v>
      </c>
      <c r="J72">
        <v>131.6</v>
      </c>
      <c r="K72">
        <v>4</v>
      </c>
      <c r="L72" t="s">
        <v>85</v>
      </c>
      <c r="M72" t="s">
        <v>3</v>
      </c>
      <c r="O72" t="s">
        <v>84</v>
      </c>
      <c r="P72">
        <v>83</v>
      </c>
      <c r="Q72">
        <v>112</v>
      </c>
      <c r="R72">
        <v>8</v>
      </c>
      <c r="S72" t="s">
        <v>85</v>
      </c>
      <c r="T72" t="s">
        <v>3</v>
      </c>
      <c r="V72" t="s">
        <v>84</v>
      </c>
      <c r="W72">
        <v>95</v>
      </c>
      <c r="X72">
        <v>104.9</v>
      </c>
      <c r="Y72">
        <v>2</v>
      </c>
      <c r="Z72" t="s">
        <v>85</v>
      </c>
      <c r="AA72" t="s">
        <v>5</v>
      </c>
      <c r="AC72" t="s">
        <v>84</v>
      </c>
      <c r="AD72">
        <v>13</v>
      </c>
      <c r="AE72">
        <v>95.9</v>
      </c>
      <c r="AF72">
        <v>8</v>
      </c>
      <c r="AG72" t="s">
        <v>85</v>
      </c>
      <c r="AH72" t="s">
        <v>5</v>
      </c>
      <c r="AJ72" t="s">
        <v>84</v>
      </c>
      <c r="AK72">
        <v>7</v>
      </c>
      <c r="AL72">
        <v>104.98</v>
      </c>
      <c r="AM72">
        <v>1</v>
      </c>
      <c r="AN72" t="s">
        <v>85</v>
      </c>
      <c r="AO72" t="s">
        <v>6</v>
      </c>
      <c r="AQ72" t="s">
        <v>84</v>
      </c>
      <c r="AR72">
        <v>24</v>
      </c>
      <c r="AS72">
        <v>105.61</v>
      </c>
      <c r="AT72">
        <v>2</v>
      </c>
      <c r="AU72" t="s">
        <v>85</v>
      </c>
      <c r="AV72" t="s">
        <v>6</v>
      </c>
      <c r="AX72" t="s">
        <v>84</v>
      </c>
      <c r="AY72">
        <v>42</v>
      </c>
      <c r="AZ72">
        <v>106.64</v>
      </c>
      <c r="BA72">
        <v>4</v>
      </c>
      <c r="BB72" t="s">
        <v>85</v>
      </c>
      <c r="BC72" t="s">
        <v>6</v>
      </c>
      <c r="BE72" t="s">
        <v>84</v>
      </c>
      <c r="BF72">
        <v>32</v>
      </c>
      <c r="BG72">
        <v>166.5</v>
      </c>
      <c r="BH72">
        <v>2</v>
      </c>
      <c r="BI72" t="s">
        <v>85</v>
      </c>
      <c r="BJ72" t="s">
        <v>4</v>
      </c>
      <c r="BL72" t="s">
        <v>84</v>
      </c>
      <c r="BM72">
        <v>46</v>
      </c>
      <c r="BN72">
        <v>94.48</v>
      </c>
      <c r="BO72">
        <v>4</v>
      </c>
      <c r="BP72" t="s">
        <v>85</v>
      </c>
      <c r="BQ72" t="s">
        <v>4</v>
      </c>
      <c r="BS72" t="s">
        <v>84</v>
      </c>
      <c r="BT72">
        <v>60</v>
      </c>
      <c r="BU72">
        <v>96.22</v>
      </c>
      <c r="BV72">
        <v>8</v>
      </c>
      <c r="BW72" t="s">
        <v>85</v>
      </c>
      <c r="BX72" t="s">
        <v>4</v>
      </c>
    </row>
    <row r="73" spans="1:76" x14ac:dyDescent="0.25">
      <c r="A73" t="s">
        <v>84</v>
      </c>
      <c r="B73">
        <v>72</v>
      </c>
      <c r="C73">
        <v>161.5</v>
      </c>
      <c r="D73">
        <v>2</v>
      </c>
      <c r="E73" t="s">
        <v>85</v>
      </c>
      <c r="F73" t="s">
        <v>3</v>
      </c>
      <c r="H73" t="s">
        <v>84</v>
      </c>
      <c r="I73">
        <v>78</v>
      </c>
      <c r="J73">
        <v>147.36000000000001</v>
      </c>
      <c r="K73">
        <v>4</v>
      </c>
      <c r="L73" t="s">
        <v>85</v>
      </c>
      <c r="M73" t="s">
        <v>3</v>
      </c>
      <c r="O73" t="s">
        <v>84</v>
      </c>
      <c r="P73">
        <v>84</v>
      </c>
      <c r="Q73">
        <v>110.79</v>
      </c>
      <c r="R73">
        <v>8</v>
      </c>
      <c r="S73" t="s">
        <v>85</v>
      </c>
      <c r="T73" t="s">
        <v>3</v>
      </c>
      <c r="V73" t="s">
        <v>84</v>
      </c>
      <c r="W73">
        <v>96</v>
      </c>
      <c r="X73">
        <v>104.38</v>
      </c>
      <c r="Y73">
        <v>2</v>
      </c>
      <c r="Z73" t="s">
        <v>85</v>
      </c>
      <c r="AA73" t="s">
        <v>5</v>
      </c>
      <c r="AC73" t="s">
        <v>84</v>
      </c>
      <c r="AD73">
        <v>14</v>
      </c>
      <c r="AE73">
        <v>97</v>
      </c>
      <c r="AF73">
        <v>8</v>
      </c>
      <c r="AG73" t="s">
        <v>85</v>
      </c>
      <c r="AH73" t="s">
        <v>5</v>
      </c>
      <c r="AJ73" t="s">
        <v>84</v>
      </c>
      <c r="AK73">
        <v>8</v>
      </c>
      <c r="AL73">
        <v>104.98</v>
      </c>
      <c r="AM73">
        <v>1</v>
      </c>
      <c r="AN73" t="s">
        <v>85</v>
      </c>
      <c r="AO73" t="s">
        <v>6</v>
      </c>
      <c r="AQ73" t="s">
        <v>84</v>
      </c>
      <c r="AR73">
        <v>25</v>
      </c>
      <c r="AS73">
        <v>95</v>
      </c>
      <c r="AT73">
        <v>2</v>
      </c>
      <c r="AU73" t="s">
        <v>85</v>
      </c>
      <c r="AV73" t="s">
        <v>6</v>
      </c>
      <c r="AX73" t="s">
        <v>84</v>
      </c>
      <c r="AY73">
        <v>43</v>
      </c>
      <c r="AZ73">
        <v>91.09</v>
      </c>
      <c r="BA73">
        <v>4</v>
      </c>
      <c r="BB73" t="s">
        <v>85</v>
      </c>
      <c r="BC73" t="s">
        <v>6</v>
      </c>
      <c r="BE73" t="s">
        <v>84</v>
      </c>
      <c r="BF73">
        <v>33</v>
      </c>
      <c r="BG73">
        <v>168.6</v>
      </c>
      <c r="BH73">
        <v>2</v>
      </c>
      <c r="BI73" t="s">
        <v>85</v>
      </c>
      <c r="BJ73" t="s">
        <v>4</v>
      </c>
      <c r="BL73" t="s">
        <v>84</v>
      </c>
      <c r="BM73">
        <v>47</v>
      </c>
      <c r="BN73">
        <v>90.85</v>
      </c>
      <c r="BO73">
        <v>4</v>
      </c>
      <c r="BP73" t="s">
        <v>85</v>
      </c>
      <c r="BQ73" t="s">
        <v>4</v>
      </c>
      <c r="BS73" t="s">
        <v>84</v>
      </c>
      <c r="BT73">
        <v>61</v>
      </c>
      <c r="BU73">
        <v>90.78</v>
      </c>
      <c r="BV73">
        <v>8</v>
      </c>
      <c r="BW73" t="s">
        <v>85</v>
      </c>
      <c r="BX73" t="s">
        <v>4</v>
      </c>
    </row>
    <row r="74" spans="1:76" x14ac:dyDescent="0.25">
      <c r="A74" t="s">
        <v>84</v>
      </c>
      <c r="B74">
        <v>73</v>
      </c>
      <c r="C74">
        <v>121.5</v>
      </c>
      <c r="D74">
        <v>2</v>
      </c>
      <c r="E74" t="s">
        <v>85</v>
      </c>
      <c r="F74" t="s">
        <v>3</v>
      </c>
      <c r="H74" t="s">
        <v>84</v>
      </c>
      <c r="I74">
        <v>79</v>
      </c>
      <c r="J74">
        <v>134.53</v>
      </c>
      <c r="K74">
        <v>4</v>
      </c>
      <c r="L74" t="s">
        <v>85</v>
      </c>
      <c r="M74" t="s">
        <v>3</v>
      </c>
      <c r="O74" t="s">
        <v>84</v>
      </c>
      <c r="P74">
        <v>86</v>
      </c>
      <c r="Q74">
        <v>132.68</v>
      </c>
      <c r="R74">
        <v>8</v>
      </c>
      <c r="S74" t="s">
        <v>85</v>
      </c>
      <c r="T74" t="s">
        <v>3</v>
      </c>
      <c r="V74" t="s">
        <v>84</v>
      </c>
      <c r="W74">
        <v>1</v>
      </c>
      <c r="X74">
        <v>111.59</v>
      </c>
      <c r="Y74">
        <v>4</v>
      </c>
      <c r="Z74" t="s">
        <v>85</v>
      </c>
      <c r="AA74" t="s">
        <v>5</v>
      </c>
      <c r="AC74" t="s">
        <v>84</v>
      </c>
      <c r="AD74">
        <v>15</v>
      </c>
      <c r="AE74">
        <v>97</v>
      </c>
      <c r="AF74">
        <v>8</v>
      </c>
      <c r="AG74" t="s">
        <v>85</v>
      </c>
      <c r="AH74" t="s">
        <v>5</v>
      </c>
      <c r="AJ74" t="s">
        <v>84</v>
      </c>
      <c r="AK74">
        <v>9</v>
      </c>
      <c r="AL74">
        <v>104.98</v>
      </c>
      <c r="AM74">
        <v>1</v>
      </c>
      <c r="AN74" t="s">
        <v>85</v>
      </c>
      <c r="AO74" t="s">
        <v>6</v>
      </c>
      <c r="AQ74" t="s">
        <v>84</v>
      </c>
      <c r="AR74">
        <v>26</v>
      </c>
      <c r="AS74">
        <v>104.67</v>
      </c>
      <c r="AT74">
        <v>2</v>
      </c>
      <c r="AU74" t="s">
        <v>85</v>
      </c>
      <c r="AV74" t="s">
        <v>6</v>
      </c>
      <c r="AX74" t="s">
        <v>84</v>
      </c>
      <c r="AY74">
        <v>44</v>
      </c>
      <c r="AZ74">
        <v>89.29</v>
      </c>
      <c r="BA74">
        <v>4</v>
      </c>
      <c r="BB74" t="s">
        <v>85</v>
      </c>
      <c r="BC74" t="s">
        <v>6</v>
      </c>
      <c r="BE74" t="s">
        <v>84</v>
      </c>
      <c r="BF74">
        <v>34</v>
      </c>
      <c r="BG74">
        <v>166.09</v>
      </c>
      <c r="BH74">
        <v>2</v>
      </c>
      <c r="BI74" t="s">
        <v>85</v>
      </c>
      <c r="BJ74" t="s">
        <v>4</v>
      </c>
      <c r="BL74" t="s">
        <v>84</v>
      </c>
      <c r="BM74">
        <v>48</v>
      </c>
      <c r="BN74">
        <v>100.98</v>
      </c>
      <c r="BO74">
        <v>4</v>
      </c>
      <c r="BP74" t="s">
        <v>85</v>
      </c>
      <c r="BQ74" t="s">
        <v>4</v>
      </c>
      <c r="BS74" t="s">
        <v>84</v>
      </c>
      <c r="BT74">
        <v>62</v>
      </c>
      <c r="BU74">
        <v>90.81</v>
      </c>
      <c r="BV74">
        <v>8</v>
      </c>
      <c r="BW74" t="s">
        <v>85</v>
      </c>
      <c r="BX74" t="s">
        <v>4</v>
      </c>
    </row>
    <row r="75" spans="1:76" x14ac:dyDescent="0.25">
      <c r="A75" t="s">
        <v>84</v>
      </c>
      <c r="B75">
        <v>74</v>
      </c>
      <c r="C75">
        <v>120.69</v>
      </c>
      <c r="D75">
        <v>2</v>
      </c>
      <c r="E75" t="s">
        <v>85</v>
      </c>
      <c r="F75" t="s">
        <v>3</v>
      </c>
      <c r="H75" t="s">
        <v>84</v>
      </c>
      <c r="I75">
        <v>80</v>
      </c>
      <c r="J75">
        <v>116.69</v>
      </c>
      <c r="K75">
        <v>4</v>
      </c>
      <c r="L75" t="s">
        <v>85</v>
      </c>
      <c r="M75" t="s">
        <v>3</v>
      </c>
      <c r="O75" t="s">
        <v>84</v>
      </c>
      <c r="P75">
        <v>88</v>
      </c>
      <c r="Q75">
        <v>93</v>
      </c>
      <c r="R75">
        <v>8</v>
      </c>
      <c r="S75" t="s">
        <v>85</v>
      </c>
      <c r="T75" t="s">
        <v>3</v>
      </c>
      <c r="V75" t="s">
        <v>84</v>
      </c>
      <c r="W75">
        <v>2</v>
      </c>
      <c r="X75">
        <v>100.43</v>
      </c>
      <c r="Y75">
        <v>4</v>
      </c>
      <c r="Z75" t="s">
        <v>85</v>
      </c>
      <c r="AA75" t="s">
        <v>5</v>
      </c>
      <c r="AC75" t="s">
        <v>84</v>
      </c>
      <c r="AD75">
        <v>16</v>
      </c>
      <c r="AE75">
        <v>97.43</v>
      </c>
      <c r="AF75">
        <v>8</v>
      </c>
      <c r="AG75" t="s">
        <v>85</v>
      </c>
      <c r="AH75" t="s">
        <v>5</v>
      </c>
      <c r="AJ75" t="s">
        <v>84</v>
      </c>
      <c r="AK75">
        <v>10</v>
      </c>
      <c r="AL75">
        <v>104.98</v>
      </c>
      <c r="AM75">
        <v>1</v>
      </c>
      <c r="AN75" t="s">
        <v>85</v>
      </c>
      <c r="AO75" t="s">
        <v>6</v>
      </c>
      <c r="AQ75" t="s">
        <v>84</v>
      </c>
      <c r="AR75">
        <v>27</v>
      </c>
      <c r="AS75">
        <v>120.46</v>
      </c>
      <c r="AT75">
        <v>2</v>
      </c>
      <c r="AU75" t="s">
        <v>85</v>
      </c>
      <c r="AV75" t="s">
        <v>6</v>
      </c>
      <c r="AX75" t="s">
        <v>84</v>
      </c>
      <c r="AY75">
        <v>45</v>
      </c>
      <c r="AZ75">
        <v>93.11</v>
      </c>
      <c r="BA75">
        <v>4</v>
      </c>
      <c r="BB75" t="s">
        <v>85</v>
      </c>
      <c r="BC75" t="s">
        <v>6</v>
      </c>
      <c r="BE75" t="s">
        <v>84</v>
      </c>
      <c r="BF75">
        <v>35</v>
      </c>
      <c r="BG75">
        <v>145.56</v>
      </c>
      <c r="BH75">
        <v>2</v>
      </c>
      <c r="BI75" t="s">
        <v>85</v>
      </c>
      <c r="BJ75" t="s">
        <v>4</v>
      </c>
      <c r="BL75" t="s">
        <v>84</v>
      </c>
      <c r="BM75">
        <v>49</v>
      </c>
      <c r="BN75">
        <v>101.49</v>
      </c>
      <c r="BO75">
        <v>4</v>
      </c>
      <c r="BP75" t="s">
        <v>85</v>
      </c>
      <c r="BQ75" t="s">
        <v>4</v>
      </c>
      <c r="BS75" t="s">
        <v>84</v>
      </c>
      <c r="BT75">
        <v>63</v>
      </c>
      <c r="BU75">
        <v>95.81</v>
      </c>
      <c r="BV75">
        <v>8</v>
      </c>
      <c r="BW75" t="s">
        <v>85</v>
      </c>
      <c r="BX75" t="s">
        <v>4</v>
      </c>
    </row>
    <row r="76" spans="1:76" x14ac:dyDescent="0.25">
      <c r="A76" t="s">
        <v>84</v>
      </c>
      <c r="B76">
        <v>75</v>
      </c>
      <c r="C76">
        <v>142.4</v>
      </c>
      <c r="D76">
        <v>2</v>
      </c>
      <c r="E76" t="s">
        <v>85</v>
      </c>
      <c r="F76" t="s">
        <v>3</v>
      </c>
      <c r="H76" t="s">
        <v>84</v>
      </c>
      <c r="I76">
        <v>81</v>
      </c>
      <c r="J76">
        <v>137</v>
      </c>
      <c r="K76">
        <v>4</v>
      </c>
      <c r="L76" t="s">
        <v>85</v>
      </c>
      <c r="M76" t="s">
        <v>3</v>
      </c>
      <c r="O76" t="s">
        <v>84</v>
      </c>
      <c r="P76">
        <v>89</v>
      </c>
      <c r="Q76">
        <v>122</v>
      </c>
      <c r="R76">
        <v>8</v>
      </c>
      <c r="S76" t="s">
        <v>85</v>
      </c>
      <c r="T76" t="s">
        <v>3</v>
      </c>
      <c r="V76" t="s">
        <v>84</v>
      </c>
      <c r="W76">
        <v>3</v>
      </c>
      <c r="X76">
        <v>94.48</v>
      </c>
      <c r="Y76">
        <v>4</v>
      </c>
      <c r="Z76" t="s">
        <v>85</v>
      </c>
      <c r="AA76" t="s">
        <v>5</v>
      </c>
      <c r="AC76" t="s">
        <v>84</v>
      </c>
      <c r="AD76">
        <v>17</v>
      </c>
      <c r="AE76">
        <v>91.04</v>
      </c>
      <c r="AF76">
        <v>8</v>
      </c>
      <c r="AG76" t="s">
        <v>85</v>
      </c>
      <c r="AH76" t="s">
        <v>5</v>
      </c>
      <c r="AJ76" t="s">
        <v>84</v>
      </c>
      <c r="AK76">
        <v>11</v>
      </c>
      <c r="AL76">
        <v>104.98</v>
      </c>
      <c r="AM76">
        <v>1</v>
      </c>
      <c r="AN76" t="s">
        <v>85</v>
      </c>
      <c r="AO76" t="s">
        <v>6</v>
      </c>
      <c r="AQ76" t="s">
        <v>84</v>
      </c>
      <c r="AR76">
        <v>28</v>
      </c>
      <c r="AS76">
        <v>133.78</v>
      </c>
      <c r="AT76">
        <v>2</v>
      </c>
      <c r="AU76" t="s">
        <v>85</v>
      </c>
      <c r="AV76" t="s">
        <v>6</v>
      </c>
      <c r="AX76" t="s">
        <v>84</v>
      </c>
      <c r="AY76">
        <v>46</v>
      </c>
      <c r="AZ76">
        <v>89.48</v>
      </c>
      <c r="BA76">
        <v>4</v>
      </c>
      <c r="BB76" t="s">
        <v>85</v>
      </c>
      <c r="BC76" t="s">
        <v>6</v>
      </c>
      <c r="BE76" t="s">
        <v>84</v>
      </c>
      <c r="BF76">
        <v>36</v>
      </c>
      <c r="BG76">
        <v>120.19</v>
      </c>
      <c r="BH76">
        <v>2</v>
      </c>
      <c r="BI76" t="s">
        <v>85</v>
      </c>
      <c r="BJ76" t="s">
        <v>4</v>
      </c>
      <c r="BL76" t="s">
        <v>84</v>
      </c>
      <c r="BM76">
        <v>50</v>
      </c>
      <c r="BN76">
        <v>99.97</v>
      </c>
      <c r="BO76">
        <v>4</v>
      </c>
      <c r="BP76" t="s">
        <v>85</v>
      </c>
      <c r="BQ76" t="s">
        <v>4</v>
      </c>
      <c r="BS76" t="s">
        <v>84</v>
      </c>
      <c r="BT76">
        <v>64</v>
      </c>
      <c r="BU76">
        <v>96.99</v>
      </c>
      <c r="BV76">
        <v>8</v>
      </c>
      <c r="BW76" t="s">
        <v>85</v>
      </c>
      <c r="BX76" t="s">
        <v>4</v>
      </c>
    </row>
    <row r="77" spans="1:76" x14ac:dyDescent="0.25">
      <c r="A77" t="s">
        <v>84</v>
      </c>
      <c r="B77">
        <v>76</v>
      </c>
      <c r="C77">
        <v>151.86000000000001</v>
      </c>
      <c r="D77">
        <v>2</v>
      </c>
      <c r="E77" t="s">
        <v>85</v>
      </c>
      <c r="F77" t="s">
        <v>3</v>
      </c>
      <c r="H77" t="s">
        <v>84</v>
      </c>
      <c r="I77">
        <v>82</v>
      </c>
      <c r="J77">
        <v>130.19999999999999</v>
      </c>
      <c r="K77">
        <v>4</v>
      </c>
      <c r="L77" t="s">
        <v>85</v>
      </c>
      <c r="M77" t="s">
        <v>3</v>
      </c>
      <c r="O77" t="s">
        <v>84</v>
      </c>
      <c r="P77">
        <v>90</v>
      </c>
      <c r="Q77">
        <v>115.75</v>
      </c>
      <c r="R77">
        <v>8</v>
      </c>
      <c r="S77" t="s">
        <v>85</v>
      </c>
      <c r="T77" t="s">
        <v>3</v>
      </c>
      <c r="V77" t="s">
        <v>84</v>
      </c>
      <c r="W77">
        <v>4</v>
      </c>
      <c r="X77">
        <v>91.37</v>
      </c>
      <c r="Y77">
        <v>4</v>
      </c>
      <c r="Z77" t="s">
        <v>85</v>
      </c>
      <c r="AA77" t="s">
        <v>5</v>
      </c>
      <c r="AC77" t="s">
        <v>84</v>
      </c>
      <c r="AD77">
        <v>18</v>
      </c>
      <c r="AE77">
        <v>92.38</v>
      </c>
      <c r="AF77">
        <v>8</v>
      </c>
      <c r="AG77" t="s">
        <v>85</v>
      </c>
      <c r="AH77" t="s">
        <v>5</v>
      </c>
      <c r="AJ77" t="s">
        <v>84</v>
      </c>
      <c r="AK77">
        <v>12</v>
      </c>
      <c r="AL77">
        <v>104.98</v>
      </c>
      <c r="AM77">
        <v>1</v>
      </c>
      <c r="AN77" t="s">
        <v>85</v>
      </c>
      <c r="AO77" t="s">
        <v>6</v>
      </c>
      <c r="AQ77" t="s">
        <v>84</v>
      </c>
      <c r="AR77">
        <v>29</v>
      </c>
      <c r="AS77">
        <v>109.69</v>
      </c>
      <c r="AT77">
        <v>2</v>
      </c>
      <c r="AU77" t="s">
        <v>85</v>
      </c>
      <c r="AV77" t="s">
        <v>6</v>
      </c>
      <c r="AX77" t="s">
        <v>84</v>
      </c>
      <c r="AY77">
        <v>47</v>
      </c>
      <c r="AZ77">
        <v>85.85</v>
      </c>
      <c r="BA77">
        <v>4</v>
      </c>
      <c r="BB77" t="s">
        <v>85</v>
      </c>
      <c r="BC77" t="s">
        <v>6</v>
      </c>
      <c r="BE77" t="s">
        <v>84</v>
      </c>
      <c r="BF77">
        <v>37</v>
      </c>
      <c r="BG77">
        <v>150.5</v>
      </c>
      <c r="BH77">
        <v>2</v>
      </c>
      <c r="BI77" t="s">
        <v>85</v>
      </c>
      <c r="BJ77" t="s">
        <v>4</v>
      </c>
      <c r="BL77" t="s">
        <v>84</v>
      </c>
      <c r="BM77">
        <v>51</v>
      </c>
      <c r="BN77">
        <v>90.97</v>
      </c>
      <c r="BO77">
        <v>4</v>
      </c>
      <c r="BP77" t="s">
        <v>85</v>
      </c>
      <c r="BQ77" t="s">
        <v>4</v>
      </c>
      <c r="BS77" t="s">
        <v>84</v>
      </c>
      <c r="BT77">
        <v>65</v>
      </c>
      <c r="BU77">
        <v>92</v>
      </c>
      <c r="BV77">
        <v>8</v>
      </c>
      <c r="BW77" t="s">
        <v>85</v>
      </c>
      <c r="BX77" t="s">
        <v>4</v>
      </c>
    </row>
    <row r="78" spans="1:76" x14ac:dyDescent="0.25">
      <c r="A78" t="s">
        <v>84</v>
      </c>
      <c r="B78">
        <v>77</v>
      </c>
      <c r="C78">
        <v>136.1</v>
      </c>
      <c r="D78">
        <v>2</v>
      </c>
      <c r="E78" t="s">
        <v>85</v>
      </c>
      <c r="F78" t="s">
        <v>3</v>
      </c>
      <c r="H78" t="s">
        <v>84</v>
      </c>
      <c r="I78">
        <v>83</v>
      </c>
      <c r="J78">
        <v>117</v>
      </c>
      <c r="K78">
        <v>4</v>
      </c>
      <c r="L78" t="s">
        <v>85</v>
      </c>
      <c r="M78" t="s">
        <v>3</v>
      </c>
      <c r="O78" t="s">
        <v>84</v>
      </c>
      <c r="P78">
        <v>91</v>
      </c>
      <c r="Q78">
        <v>102.9</v>
      </c>
      <c r="R78">
        <v>8</v>
      </c>
      <c r="S78" t="s">
        <v>85</v>
      </c>
      <c r="T78" t="s">
        <v>3</v>
      </c>
      <c r="V78" t="s">
        <v>84</v>
      </c>
      <c r="W78">
        <v>5</v>
      </c>
      <c r="X78">
        <v>94.48</v>
      </c>
      <c r="Y78">
        <v>4</v>
      </c>
      <c r="Z78" t="s">
        <v>85</v>
      </c>
      <c r="AA78" t="s">
        <v>5</v>
      </c>
      <c r="AC78" t="s">
        <v>84</v>
      </c>
      <c r="AD78">
        <v>19</v>
      </c>
      <c r="AE78">
        <v>95.48</v>
      </c>
      <c r="AF78">
        <v>8</v>
      </c>
      <c r="AG78" t="s">
        <v>85</v>
      </c>
      <c r="AH78" t="s">
        <v>5</v>
      </c>
      <c r="AJ78" t="s">
        <v>84</v>
      </c>
      <c r="AK78">
        <v>13</v>
      </c>
      <c r="AL78">
        <v>105.4</v>
      </c>
      <c r="AM78">
        <v>1</v>
      </c>
      <c r="AN78" t="s">
        <v>85</v>
      </c>
      <c r="AO78" t="s">
        <v>6</v>
      </c>
      <c r="AQ78" t="s">
        <v>84</v>
      </c>
      <c r="AR78">
        <v>30</v>
      </c>
      <c r="AS78">
        <v>134.97</v>
      </c>
      <c r="AT78">
        <v>2</v>
      </c>
      <c r="AU78" t="s">
        <v>85</v>
      </c>
      <c r="AV78" t="s">
        <v>6</v>
      </c>
      <c r="AX78" t="s">
        <v>84</v>
      </c>
      <c r="AY78">
        <v>48</v>
      </c>
      <c r="AZ78">
        <v>95.98</v>
      </c>
      <c r="BA78">
        <v>4</v>
      </c>
      <c r="BB78" t="s">
        <v>85</v>
      </c>
      <c r="BC78" t="s">
        <v>6</v>
      </c>
      <c r="BE78" t="s">
        <v>84</v>
      </c>
      <c r="BF78">
        <v>38</v>
      </c>
      <c r="BG78">
        <v>126.5</v>
      </c>
      <c r="BH78">
        <v>2</v>
      </c>
      <c r="BI78" t="s">
        <v>85</v>
      </c>
      <c r="BJ78" t="s">
        <v>4</v>
      </c>
      <c r="BL78" t="s">
        <v>84</v>
      </c>
      <c r="BM78">
        <v>52</v>
      </c>
      <c r="BN78">
        <v>90.97</v>
      </c>
      <c r="BO78">
        <v>4</v>
      </c>
      <c r="BP78" t="s">
        <v>85</v>
      </c>
      <c r="BQ78" t="s">
        <v>4</v>
      </c>
      <c r="BS78" t="s">
        <v>84</v>
      </c>
      <c r="BT78">
        <v>66</v>
      </c>
      <c r="BU78">
        <v>105.56</v>
      </c>
      <c r="BV78">
        <v>8</v>
      </c>
      <c r="BW78" t="s">
        <v>85</v>
      </c>
      <c r="BX78" t="s">
        <v>4</v>
      </c>
    </row>
    <row r="79" spans="1:76" x14ac:dyDescent="0.25">
      <c r="A79" t="s">
        <v>84</v>
      </c>
      <c r="B79">
        <v>78</v>
      </c>
      <c r="C79">
        <v>151.86000000000001</v>
      </c>
      <c r="D79">
        <v>2</v>
      </c>
      <c r="E79" t="s">
        <v>85</v>
      </c>
      <c r="F79" t="s">
        <v>3</v>
      </c>
      <c r="H79" t="s">
        <v>84</v>
      </c>
      <c r="I79">
        <v>84</v>
      </c>
      <c r="J79">
        <v>115.79</v>
      </c>
      <c r="K79">
        <v>4</v>
      </c>
      <c r="L79" t="s">
        <v>85</v>
      </c>
      <c r="M79" t="s">
        <v>3</v>
      </c>
      <c r="O79" t="s">
        <v>84</v>
      </c>
      <c r="P79">
        <v>92</v>
      </c>
      <c r="Q79">
        <v>95.34</v>
      </c>
      <c r="R79">
        <v>8</v>
      </c>
      <c r="S79" t="s">
        <v>85</v>
      </c>
      <c r="T79" t="s">
        <v>3</v>
      </c>
      <c r="V79" t="s">
        <v>84</v>
      </c>
      <c r="W79">
        <v>6</v>
      </c>
      <c r="X79">
        <v>94.48</v>
      </c>
      <c r="Y79">
        <v>4</v>
      </c>
      <c r="Z79" t="s">
        <v>85</v>
      </c>
      <c r="AA79" t="s">
        <v>5</v>
      </c>
      <c r="AC79" t="s">
        <v>84</v>
      </c>
      <c r="AD79">
        <v>20</v>
      </c>
      <c r="AE79">
        <v>82.61</v>
      </c>
      <c r="AF79">
        <v>8</v>
      </c>
      <c r="AG79" t="s">
        <v>85</v>
      </c>
      <c r="AH79" t="s">
        <v>5</v>
      </c>
      <c r="AJ79" t="s">
        <v>84</v>
      </c>
      <c r="AK79">
        <v>14</v>
      </c>
      <c r="AL79">
        <v>106.5</v>
      </c>
      <c r="AM79">
        <v>1</v>
      </c>
      <c r="AN79" t="s">
        <v>85</v>
      </c>
      <c r="AO79" t="s">
        <v>6</v>
      </c>
      <c r="AQ79" t="s">
        <v>84</v>
      </c>
      <c r="AR79">
        <v>31</v>
      </c>
      <c r="AS79">
        <v>161.59</v>
      </c>
      <c r="AT79">
        <v>2</v>
      </c>
      <c r="AU79" t="s">
        <v>85</v>
      </c>
      <c r="AV79" t="s">
        <v>6</v>
      </c>
      <c r="AX79" t="s">
        <v>84</v>
      </c>
      <c r="AY79">
        <v>49</v>
      </c>
      <c r="AZ79">
        <v>96.49</v>
      </c>
      <c r="BA79">
        <v>4</v>
      </c>
      <c r="BB79" t="s">
        <v>85</v>
      </c>
      <c r="BC79" t="s">
        <v>6</v>
      </c>
      <c r="BE79" t="s">
        <v>84</v>
      </c>
      <c r="BF79">
        <v>39</v>
      </c>
      <c r="BG79">
        <v>118.93</v>
      </c>
      <c r="BH79">
        <v>2</v>
      </c>
      <c r="BI79" t="s">
        <v>85</v>
      </c>
      <c r="BJ79" t="s">
        <v>4</v>
      </c>
      <c r="BL79" t="s">
        <v>84</v>
      </c>
      <c r="BM79">
        <v>53</v>
      </c>
      <c r="BN79">
        <v>91.45</v>
      </c>
      <c r="BO79">
        <v>4</v>
      </c>
      <c r="BP79" t="s">
        <v>85</v>
      </c>
      <c r="BQ79" t="s">
        <v>4</v>
      </c>
      <c r="BS79" t="s">
        <v>84</v>
      </c>
      <c r="BT79">
        <v>67</v>
      </c>
      <c r="BU79">
        <v>117.69</v>
      </c>
      <c r="BV79">
        <v>8</v>
      </c>
      <c r="BW79" t="s">
        <v>85</v>
      </c>
      <c r="BX79" t="s">
        <v>4</v>
      </c>
    </row>
    <row r="80" spans="1:76" x14ac:dyDescent="0.25">
      <c r="A80" t="s">
        <v>84</v>
      </c>
      <c r="B80">
        <v>79</v>
      </c>
      <c r="C80">
        <v>139.03</v>
      </c>
      <c r="D80">
        <v>2</v>
      </c>
      <c r="E80" t="s">
        <v>85</v>
      </c>
      <c r="F80" t="s">
        <v>3</v>
      </c>
      <c r="H80" t="s">
        <v>84</v>
      </c>
      <c r="I80">
        <v>86</v>
      </c>
      <c r="J80">
        <v>137.68</v>
      </c>
      <c r="K80">
        <v>4</v>
      </c>
      <c r="L80" t="s">
        <v>85</v>
      </c>
      <c r="M80" t="s">
        <v>3</v>
      </c>
      <c r="O80" t="s">
        <v>84</v>
      </c>
      <c r="P80">
        <v>93</v>
      </c>
      <c r="Q80">
        <v>111.28</v>
      </c>
      <c r="R80">
        <v>8</v>
      </c>
      <c r="S80" t="s">
        <v>85</v>
      </c>
      <c r="T80" t="s">
        <v>3</v>
      </c>
      <c r="V80" t="s">
        <v>84</v>
      </c>
      <c r="W80">
        <v>7</v>
      </c>
      <c r="X80">
        <v>100.48</v>
      </c>
      <c r="Y80">
        <v>4</v>
      </c>
      <c r="Z80" t="s">
        <v>85</v>
      </c>
      <c r="AA80" t="s">
        <v>5</v>
      </c>
      <c r="AC80" t="s">
        <v>84</v>
      </c>
      <c r="AD80">
        <v>21</v>
      </c>
      <c r="AE80">
        <v>81.14</v>
      </c>
      <c r="AF80">
        <v>8</v>
      </c>
      <c r="AG80" t="s">
        <v>85</v>
      </c>
      <c r="AH80" t="s">
        <v>5</v>
      </c>
      <c r="AJ80" t="s">
        <v>84</v>
      </c>
      <c r="AK80">
        <v>15</v>
      </c>
      <c r="AL80">
        <v>106.5</v>
      </c>
      <c r="AM80">
        <v>1</v>
      </c>
      <c r="AN80" t="s">
        <v>85</v>
      </c>
      <c r="AO80" t="s">
        <v>6</v>
      </c>
      <c r="AQ80" t="s">
        <v>84</v>
      </c>
      <c r="AR80">
        <v>32</v>
      </c>
      <c r="AS80">
        <v>162</v>
      </c>
      <c r="AT80">
        <v>2</v>
      </c>
      <c r="AU80" t="s">
        <v>85</v>
      </c>
      <c r="AV80" t="s">
        <v>6</v>
      </c>
      <c r="AX80" t="s">
        <v>84</v>
      </c>
      <c r="AY80">
        <v>50</v>
      </c>
      <c r="AZ80">
        <v>94.97</v>
      </c>
      <c r="BA80">
        <v>4</v>
      </c>
      <c r="BB80" t="s">
        <v>85</v>
      </c>
      <c r="BC80" t="s">
        <v>6</v>
      </c>
      <c r="BE80" t="s">
        <v>84</v>
      </c>
      <c r="BF80">
        <v>40</v>
      </c>
      <c r="BG80">
        <v>102.02</v>
      </c>
      <c r="BH80">
        <v>2</v>
      </c>
      <c r="BI80" t="s">
        <v>85</v>
      </c>
      <c r="BJ80" t="s">
        <v>4</v>
      </c>
      <c r="BL80" t="s">
        <v>84</v>
      </c>
      <c r="BM80">
        <v>54</v>
      </c>
      <c r="BN80">
        <v>93.08</v>
      </c>
      <c r="BO80">
        <v>4</v>
      </c>
      <c r="BP80" t="s">
        <v>85</v>
      </c>
      <c r="BQ80" t="s">
        <v>4</v>
      </c>
      <c r="BS80" t="s">
        <v>84</v>
      </c>
      <c r="BT80">
        <v>68</v>
      </c>
      <c r="BU80">
        <v>130</v>
      </c>
      <c r="BV80">
        <v>8</v>
      </c>
      <c r="BW80" t="s">
        <v>85</v>
      </c>
      <c r="BX80" t="s">
        <v>4</v>
      </c>
    </row>
    <row r="81" spans="1:76" x14ac:dyDescent="0.25">
      <c r="A81" t="s">
        <v>84</v>
      </c>
      <c r="B81">
        <v>80</v>
      </c>
      <c r="C81">
        <v>121.19</v>
      </c>
      <c r="D81">
        <v>2</v>
      </c>
      <c r="E81" t="s">
        <v>85</v>
      </c>
      <c r="F81" t="s">
        <v>3</v>
      </c>
      <c r="H81" t="s">
        <v>84</v>
      </c>
      <c r="I81">
        <v>88</v>
      </c>
      <c r="J81">
        <v>98</v>
      </c>
      <c r="K81">
        <v>4</v>
      </c>
      <c r="L81" t="s">
        <v>85</v>
      </c>
      <c r="M81" t="s">
        <v>3</v>
      </c>
      <c r="O81" t="s">
        <v>84</v>
      </c>
      <c r="P81">
        <v>94</v>
      </c>
      <c r="Q81">
        <v>105.04</v>
      </c>
      <c r="R81">
        <v>8</v>
      </c>
      <c r="S81" t="s">
        <v>85</v>
      </c>
      <c r="T81" t="s">
        <v>3</v>
      </c>
      <c r="V81" t="s">
        <v>84</v>
      </c>
      <c r="W81">
        <v>8</v>
      </c>
      <c r="X81">
        <v>100.48</v>
      </c>
      <c r="Y81">
        <v>4</v>
      </c>
      <c r="Z81" t="s">
        <v>85</v>
      </c>
      <c r="AA81" t="s">
        <v>5</v>
      </c>
      <c r="AC81" t="s">
        <v>84</v>
      </c>
      <c r="AD81">
        <v>22</v>
      </c>
      <c r="AE81">
        <v>84.79</v>
      </c>
      <c r="AF81">
        <v>8</v>
      </c>
      <c r="AG81" t="s">
        <v>85</v>
      </c>
      <c r="AH81" t="s">
        <v>5</v>
      </c>
      <c r="AJ81" t="s">
        <v>84</v>
      </c>
      <c r="AK81">
        <v>16</v>
      </c>
      <c r="AL81">
        <v>106.93</v>
      </c>
      <c r="AM81">
        <v>1</v>
      </c>
      <c r="AN81" t="s">
        <v>85</v>
      </c>
      <c r="AO81" t="s">
        <v>6</v>
      </c>
      <c r="AQ81" t="s">
        <v>84</v>
      </c>
      <c r="AR81">
        <v>33</v>
      </c>
      <c r="AS81">
        <v>164.1</v>
      </c>
      <c r="AT81">
        <v>2</v>
      </c>
      <c r="AU81" t="s">
        <v>85</v>
      </c>
      <c r="AV81" t="s">
        <v>6</v>
      </c>
      <c r="AX81" t="s">
        <v>84</v>
      </c>
      <c r="AY81">
        <v>51</v>
      </c>
      <c r="AZ81">
        <v>85.97</v>
      </c>
      <c r="BA81">
        <v>4</v>
      </c>
      <c r="BB81" t="s">
        <v>85</v>
      </c>
      <c r="BC81" t="s">
        <v>6</v>
      </c>
      <c r="BE81" t="s">
        <v>84</v>
      </c>
      <c r="BF81">
        <v>41</v>
      </c>
      <c r="BG81">
        <v>126.5</v>
      </c>
      <c r="BH81">
        <v>2</v>
      </c>
      <c r="BI81" t="s">
        <v>85</v>
      </c>
      <c r="BJ81" t="s">
        <v>4</v>
      </c>
      <c r="BL81" t="s">
        <v>84</v>
      </c>
      <c r="BM81">
        <v>55</v>
      </c>
      <c r="BN81">
        <v>94.57</v>
      </c>
      <c r="BO81">
        <v>4</v>
      </c>
      <c r="BP81" t="s">
        <v>85</v>
      </c>
      <c r="BQ81" t="s">
        <v>4</v>
      </c>
      <c r="BS81" t="s">
        <v>84</v>
      </c>
      <c r="BT81">
        <v>69</v>
      </c>
      <c r="BU81">
        <v>103.28</v>
      </c>
      <c r="BV81">
        <v>8</v>
      </c>
      <c r="BW81" t="s">
        <v>85</v>
      </c>
      <c r="BX81" t="s">
        <v>4</v>
      </c>
    </row>
    <row r="82" spans="1:76" x14ac:dyDescent="0.25">
      <c r="A82" t="s">
        <v>84</v>
      </c>
      <c r="B82">
        <v>81</v>
      </c>
      <c r="C82">
        <v>141.5</v>
      </c>
      <c r="D82">
        <v>2</v>
      </c>
      <c r="E82" t="s">
        <v>85</v>
      </c>
      <c r="F82" t="s">
        <v>3</v>
      </c>
      <c r="H82" t="s">
        <v>84</v>
      </c>
      <c r="I82">
        <v>89</v>
      </c>
      <c r="J82">
        <v>127</v>
      </c>
      <c r="K82">
        <v>4</v>
      </c>
      <c r="L82" t="s">
        <v>85</v>
      </c>
      <c r="M82" t="s">
        <v>3</v>
      </c>
      <c r="O82" t="s">
        <v>84</v>
      </c>
      <c r="P82">
        <v>95</v>
      </c>
      <c r="Q82">
        <v>95.4</v>
      </c>
      <c r="R82">
        <v>8</v>
      </c>
      <c r="S82" t="s">
        <v>85</v>
      </c>
      <c r="T82" t="s">
        <v>3</v>
      </c>
      <c r="V82" t="s">
        <v>84</v>
      </c>
      <c r="W82">
        <v>9</v>
      </c>
      <c r="X82">
        <v>100.48</v>
      </c>
      <c r="Y82">
        <v>4</v>
      </c>
      <c r="Z82" t="s">
        <v>85</v>
      </c>
      <c r="AA82" t="s">
        <v>5</v>
      </c>
      <c r="AC82" t="s">
        <v>84</v>
      </c>
      <c r="AD82">
        <v>23</v>
      </c>
      <c r="AE82">
        <v>89</v>
      </c>
      <c r="AF82">
        <v>8</v>
      </c>
      <c r="AG82" t="s">
        <v>85</v>
      </c>
      <c r="AH82" t="s">
        <v>5</v>
      </c>
      <c r="AJ82" t="s">
        <v>84</v>
      </c>
      <c r="AK82">
        <v>17</v>
      </c>
      <c r="AL82">
        <v>100.54</v>
      </c>
      <c r="AM82">
        <v>1</v>
      </c>
      <c r="AN82" t="s">
        <v>85</v>
      </c>
      <c r="AO82" t="s">
        <v>6</v>
      </c>
      <c r="AQ82" t="s">
        <v>84</v>
      </c>
      <c r="AR82">
        <v>35</v>
      </c>
      <c r="AS82">
        <v>141.06</v>
      </c>
      <c r="AT82">
        <v>2</v>
      </c>
      <c r="AU82" t="s">
        <v>85</v>
      </c>
      <c r="AV82" t="s">
        <v>6</v>
      </c>
      <c r="AX82" t="s">
        <v>84</v>
      </c>
      <c r="AY82">
        <v>52</v>
      </c>
      <c r="AZ82">
        <v>85.97</v>
      </c>
      <c r="BA82">
        <v>4</v>
      </c>
      <c r="BB82" t="s">
        <v>85</v>
      </c>
      <c r="BC82" t="s">
        <v>6</v>
      </c>
      <c r="BE82" t="s">
        <v>84</v>
      </c>
      <c r="BF82">
        <v>42</v>
      </c>
      <c r="BG82">
        <v>116.14</v>
      </c>
      <c r="BH82">
        <v>2</v>
      </c>
      <c r="BI82" t="s">
        <v>85</v>
      </c>
      <c r="BJ82" t="s">
        <v>4</v>
      </c>
      <c r="BL82" t="s">
        <v>84</v>
      </c>
      <c r="BM82">
        <v>56</v>
      </c>
      <c r="BN82">
        <v>97</v>
      </c>
      <c r="BO82">
        <v>4</v>
      </c>
      <c r="BP82" t="s">
        <v>85</v>
      </c>
      <c r="BQ82" t="s">
        <v>4</v>
      </c>
      <c r="BS82" t="s">
        <v>84</v>
      </c>
      <c r="BT82">
        <v>70</v>
      </c>
      <c r="BU82">
        <v>115.71</v>
      </c>
      <c r="BV82">
        <v>8</v>
      </c>
      <c r="BW82" t="s">
        <v>85</v>
      </c>
      <c r="BX82" t="s">
        <v>4</v>
      </c>
    </row>
    <row r="83" spans="1:76" x14ac:dyDescent="0.25">
      <c r="A83" t="s">
        <v>84</v>
      </c>
      <c r="B83">
        <v>82</v>
      </c>
      <c r="C83">
        <v>134.69999999999999</v>
      </c>
      <c r="D83">
        <v>2</v>
      </c>
      <c r="E83" t="s">
        <v>85</v>
      </c>
      <c r="F83" t="s">
        <v>3</v>
      </c>
      <c r="H83" t="s">
        <v>84</v>
      </c>
      <c r="I83">
        <v>90</v>
      </c>
      <c r="J83">
        <v>120.75</v>
      </c>
      <c r="K83">
        <v>4</v>
      </c>
      <c r="L83" t="s">
        <v>85</v>
      </c>
      <c r="M83" t="s">
        <v>3</v>
      </c>
      <c r="O83" t="s">
        <v>84</v>
      </c>
      <c r="P83">
        <v>96</v>
      </c>
      <c r="Q83">
        <v>94.88</v>
      </c>
      <c r="R83">
        <v>8</v>
      </c>
      <c r="S83" t="s">
        <v>85</v>
      </c>
      <c r="T83" t="s">
        <v>3</v>
      </c>
      <c r="V83" t="s">
        <v>84</v>
      </c>
      <c r="W83">
        <v>10</v>
      </c>
      <c r="X83">
        <v>100.48</v>
      </c>
      <c r="Y83">
        <v>4</v>
      </c>
      <c r="Z83" t="s">
        <v>85</v>
      </c>
      <c r="AA83" t="s">
        <v>5</v>
      </c>
      <c r="AC83" t="s">
        <v>84</v>
      </c>
      <c r="AD83">
        <v>24</v>
      </c>
      <c r="AE83">
        <v>100.61</v>
      </c>
      <c r="AF83">
        <v>8</v>
      </c>
      <c r="AG83" t="s">
        <v>85</v>
      </c>
      <c r="AH83" t="s">
        <v>5</v>
      </c>
      <c r="AJ83" t="s">
        <v>84</v>
      </c>
      <c r="AK83">
        <v>18</v>
      </c>
      <c r="AL83">
        <v>101.88</v>
      </c>
      <c r="AM83">
        <v>1</v>
      </c>
      <c r="AN83" t="s">
        <v>85</v>
      </c>
      <c r="AO83" t="s">
        <v>6</v>
      </c>
      <c r="AQ83" t="s">
        <v>84</v>
      </c>
      <c r="AR83">
        <v>36</v>
      </c>
      <c r="AS83">
        <v>115.69</v>
      </c>
      <c r="AT83">
        <v>2</v>
      </c>
      <c r="AU83" t="s">
        <v>85</v>
      </c>
      <c r="AV83" t="s">
        <v>6</v>
      </c>
      <c r="AX83" t="s">
        <v>84</v>
      </c>
      <c r="AY83">
        <v>53</v>
      </c>
      <c r="AZ83">
        <v>86.45</v>
      </c>
      <c r="BA83">
        <v>4</v>
      </c>
      <c r="BB83" t="s">
        <v>85</v>
      </c>
      <c r="BC83" t="s">
        <v>6</v>
      </c>
      <c r="BE83" t="s">
        <v>84</v>
      </c>
      <c r="BF83">
        <v>43</v>
      </c>
      <c r="BG83">
        <v>100.59</v>
      </c>
      <c r="BH83">
        <v>2</v>
      </c>
      <c r="BI83" t="s">
        <v>85</v>
      </c>
      <c r="BJ83" t="s">
        <v>4</v>
      </c>
      <c r="BL83" t="s">
        <v>84</v>
      </c>
      <c r="BM83">
        <v>57</v>
      </c>
      <c r="BN83">
        <v>97.7</v>
      </c>
      <c r="BO83">
        <v>4</v>
      </c>
      <c r="BP83" t="s">
        <v>85</v>
      </c>
      <c r="BQ83" t="s">
        <v>4</v>
      </c>
      <c r="BS83" t="s">
        <v>84</v>
      </c>
      <c r="BT83">
        <v>71</v>
      </c>
      <c r="BU83">
        <v>131.77000000000001</v>
      </c>
      <c r="BV83">
        <v>8</v>
      </c>
      <c r="BW83" t="s">
        <v>85</v>
      </c>
      <c r="BX83" t="s">
        <v>4</v>
      </c>
    </row>
    <row r="84" spans="1:76" x14ac:dyDescent="0.25">
      <c r="A84" t="s">
        <v>84</v>
      </c>
      <c r="B84">
        <v>83</v>
      </c>
      <c r="C84">
        <v>121.5</v>
      </c>
      <c r="D84">
        <v>2</v>
      </c>
      <c r="E84" t="s">
        <v>85</v>
      </c>
      <c r="F84" t="s">
        <v>3</v>
      </c>
      <c r="H84" t="s">
        <v>84</v>
      </c>
      <c r="I84">
        <v>91</v>
      </c>
      <c r="J84">
        <v>107.9</v>
      </c>
      <c r="K84">
        <v>4</v>
      </c>
      <c r="L84" t="s">
        <v>85</v>
      </c>
      <c r="M84" t="s">
        <v>3</v>
      </c>
      <c r="O84" t="s">
        <v>84</v>
      </c>
      <c r="P84">
        <v>85</v>
      </c>
      <c r="Q84">
        <v>140.32</v>
      </c>
      <c r="R84">
        <v>8</v>
      </c>
      <c r="S84" t="s">
        <v>85</v>
      </c>
      <c r="T84" t="s">
        <v>3</v>
      </c>
      <c r="V84" t="s">
        <v>84</v>
      </c>
      <c r="W84">
        <v>11</v>
      </c>
      <c r="X84">
        <v>100.48</v>
      </c>
      <c r="Y84">
        <v>4</v>
      </c>
      <c r="Z84" t="s">
        <v>85</v>
      </c>
      <c r="AA84" t="s">
        <v>5</v>
      </c>
      <c r="AC84" t="s">
        <v>84</v>
      </c>
      <c r="AD84">
        <v>25</v>
      </c>
      <c r="AE84">
        <v>86.58</v>
      </c>
      <c r="AF84">
        <v>8</v>
      </c>
      <c r="AG84" t="s">
        <v>85</v>
      </c>
      <c r="AH84" t="s">
        <v>5</v>
      </c>
      <c r="AJ84" t="s">
        <v>84</v>
      </c>
      <c r="AK84">
        <v>19</v>
      </c>
      <c r="AL84">
        <v>104.98</v>
      </c>
      <c r="AM84">
        <v>1</v>
      </c>
      <c r="AN84" t="s">
        <v>85</v>
      </c>
      <c r="AO84" t="s">
        <v>6</v>
      </c>
      <c r="AQ84" t="s">
        <v>84</v>
      </c>
      <c r="AR84">
        <v>37</v>
      </c>
      <c r="AS84">
        <v>146</v>
      </c>
      <c r="AT84">
        <v>2</v>
      </c>
      <c r="AU84" t="s">
        <v>85</v>
      </c>
      <c r="AV84" t="s">
        <v>6</v>
      </c>
      <c r="AX84" t="s">
        <v>84</v>
      </c>
      <c r="AY84">
        <v>54</v>
      </c>
      <c r="AZ84">
        <v>88.08</v>
      </c>
      <c r="BA84">
        <v>4</v>
      </c>
      <c r="BB84" t="s">
        <v>85</v>
      </c>
      <c r="BC84" t="s">
        <v>6</v>
      </c>
      <c r="BE84" t="s">
        <v>84</v>
      </c>
      <c r="BF84">
        <v>44</v>
      </c>
      <c r="BG84">
        <v>98.79</v>
      </c>
      <c r="BH84">
        <v>2</v>
      </c>
      <c r="BI84" t="s">
        <v>85</v>
      </c>
      <c r="BJ84" t="s">
        <v>4</v>
      </c>
      <c r="BL84" t="s">
        <v>84</v>
      </c>
      <c r="BM84">
        <v>58</v>
      </c>
      <c r="BN84">
        <v>99.62</v>
      </c>
      <c r="BO84">
        <v>4</v>
      </c>
      <c r="BP84" t="s">
        <v>85</v>
      </c>
      <c r="BQ84" t="s">
        <v>4</v>
      </c>
      <c r="BS84" t="s">
        <v>84</v>
      </c>
      <c r="BT84">
        <v>72</v>
      </c>
      <c r="BU84">
        <v>152</v>
      </c>
      <c r="BV84">
        <v>8</v>
      </c>
      <c r="BW84" t="s">
        <v>85</v>
      </c>
      <c r="BX84" t="s">
        <v>4</v>
      </c>
    </row>
    <row r="85" spans="1:76" x14ac:dyDescent="0.25">
      <c r="A85" t="s">
        <v>84</v>
      </c>
      <c r="B85">
        <v>84</v>
      </c>
      <c r="C85">
        <v>120.29</v>
      </c>
      <c r="D85">
        <v>2</v>
      </c>
      <c r="E85" t="s">
        <v>85</v>
      </c>
      <c r="F85" t="s">
        <v>3</v>
      </c>
      <c r="H85" t="s">
        <v>84</v>
      </c>
      <c r="I85">
        <v>92</v>
      </c>
      <c r="J85">
        <v>100.34</v>
      </c>
      <c r="K85">
        <v>4</v>
      </c>
      <c r="L85" t="s">
        <v>85</v>
      </c>
      <c r="M85" t="s">
        <v>3</v>
      </c>
      <c r="O85" t="s">
        <v>84</v>
      </c>
      <c r="P85">
        <v>87</v>
      </c>
      <c r="Q85">
        <v>133.91177999999999</v>
      </c>
      <c r="R85">
        <v>8</v>
      </c>
      <c r="S85" t="s">
        <v>85</v>
      </c>
      <c r="T85" t="s">
        <v>3</v>
      </c>
      <c r="V85" t="s">
        <v>84</v>
      </c>
      <c r="W85">
        <v>12</v>
      </c>
      <c r="X85">
        <v>100.48</v>
      </c>
      <c r="Y85">
        <v>4</v>
      </c>
      <c r="Z85" t="s">
        <v>85</v>
      </c>
      <c r="AA85" t="s">
        <v>5</v>
      </c>
      <c r="AC85" t="s">
        <v>84</v>
      </c>
      <c r="AD85">
        <v>26</v>
      </c>
      <c r="AE85">
        <v>99.67</v>
      </c>
      <c r="AF85">
        <v>8</v>
      </c>
      <c r="AG85" t="s">
        <v>85</v>
      </c>
      <c r="AH85" t="s">
        <v>5</v>
      </c>
      <c r="AJ85" t="s">
        <v>84</v>
      </c>
      <c r="AK85">
        <v>20</v>
      </c>
      <c r="AL85">
        <v>92.11</v>
      </c>
      <c r="AM85">
        <v>1</v>
      </c>
      <c r="AN85" t="s">
        <v>85</v>
      </c>
      <c r="AO85" t="s">
        <v>6</v>
      </c>
      <c r="AQ85" t="s">
        <v>84</v>
      </c>
      <c r="AR85">
        <v>38</v>
      </c>
      <c r="AS85">
        <v>122</v>
      </c>
      <c r="AT85">
        <v>2</v>
      </c>
      <c r="AU85" t="s">
        <v>85</v>
      </c>
      <c r="AV85" t="s">
        <v>6</v>
      </c>
      <c r="AX85" t="s">
        <v>84</v>
      </c>
      <c r="AY85">
        <v>55</v>
      </c>
      <c r="AZ85">
        <v>89.57</v>
      </c>
      <c r="BA85">
        <v>4</v>
      </c>
      <c r="BB85" t="s">
        <v>85</v>
      </c>
      <c r="BC85" t="s">
        <v>6</v>
      </c>
      <c r="BE85" t="s">
        <v>84</v>
      </c>
      <c r="BF85">
        <v>45</v>
      </c>
      <c r="BG85">
        <v>102.61</v>
      </c>
      <c r="BH85">
        <v>2</v>
      </c>
      <c r="BI85" t="s">
        <v>85</v>
      </c>
      <c r="BJ85" t="s">
        <v>4</v>
      </c>
      <c r="BL85" t="s">
        <v>84</v>
      </c>
      <c r="BM85">
        <v>59</v>
      </c>
      <c r="BN85">
        <v>102</v>
      </c>
      <c r="BO85">
        <v>4</v>
      </c>
      <c r="BP85" t="s">
        <v>85</v>
      </c>
      <c r="BQ85" t="s">
        <v>4</v>
      </c>
      <c r="BS85" t="s">
        <v>84</v>
      </c>
      <c r="BT85">
        <v>73</v>
      </c>
      <c r="BU85">
        <v>124.86</v>
      </c>
      <c r="BV85">
        <v>8</v>
      </c>
      <c r="BW85" t="s">
        <v>85</v>
      </c>
      <c r="BX85" t="s">
        <v>4</v>
      </c>
    </row>
    <row r="86" spans="1:76" x14ac:dyDescent="0.25">
      <c r="A86" t="s">
        <v>84</v>
      </c>
      <c r="B86">
        <v>86</v>
      </c>
      <c r="C86">
        <v>142.18</v>
      </c>
      <c r="D86">
        <v>2</v>
      </c>
      <c r="E86" t="s">
        <v>85</v>
      </c>
      <c r="F86" t="s">
        <v>3</v>
      </c>
      <c r="H86" t="s">
        <v>84</v>
      </c>
      <c r="I86">
        <v>93</v>
      </c>
      <c r="J86">
        <v>116.28</v>
      </c>
      <c r="K86">
        <v>4</v>
      </c>
      <c r="L86" t="s">
        <v>85</v>
      </c>
      <c r="M86" t="s">
        <v>3</v>
      </c>
      <c r="O86" t="s">
        <v>84</v>
      </c>
      <c r="P86">
        <v>85</v>
      </c>
      <c r="Q86">
        <v>136.07</v>
      </c>
      <c r="R86">
        <v>6</v>
      </c>
      <c r="S86" t="s">
        <v>85</v>
      </c>
      <c r="T86" t="s">
        <v>3</v>
      </c>
      <c r="V86" t="s">
        <v>84</v>
      </c>
      <c r="W86">
        <v>13</v>
      </c>
      <c r="X86">
        <v>100.9</v>
      </c>
      <c r="Y86">
        <v>4</v>
      </c>
      <c r="Z86" t="s">
        <v>85</v>
      </c>
      <c r="AA86" t="s">
        <v>5</v>
      </c>
      <c r="AC86" t="s">
        <v>84</v>
      </c>
      <c r="AD86">
        <v>27</v>
      </c>
      <c r="AE86">
        <v>115.46</v>
      </c>
      <c r="AF86">
        <v>8</v>
      </c>
      <c r="AG86" t="s">
        <v>85</v>
      </c>
      <c r="AH86" t="s">
        <v>5</v>
      </c>
      <c r="AJ86" t="s">
        <v>84</v>
      </c>
      <c r="AK86">
        <v>21</v>
      </c>
      <c r="AL86">
        <v>90.64</v>
      </c>
      <c r="AM86">
        <v>1</v>
      </c>
      <c r="AN86" t="s">
        <v>85</v>
      </c>
      <c r="AO86" t="s">
        <v>6</v>
      </c>
      <c r="AQ86" t="s">
        <v>84</v>
      </c>
      <c r="AR86">
        <v>39</v>
      </c>
      <c r="AS86">
        <v>114.43</v>
      </c>
      <c r="AT86">
        <v>2</v>
      </c>
      <c r="AU86" t="s">
        <v>85</v>
      </c>
      <c r="AV86" t="s">
        <v>6</v>
      </c>
      <c r="AX86" t="s">
        <v>84</v>
      </c>
      <c r="AY86">
        <v>56</v>
      </c>
      <c r="AZ86">
        <v>92</v>
      </c>
      <c r="BA86">
        <v>4</v>
      </c>
      <c r="BB86" t="s">
        <v>85</v>
      </c>
      <c r="BC86" t="s">
        <v>6</v>
      </c>
      <c r="BE86" t="s">
        <v>84</v>
      </c>
      <c r="BF86">
        <v>46</v>
      </c>
      <c r="BG86">
        <v>98.98</v>
      </c>
      <c r="BH86">
        <v>2</v>
      </c>
      <c r="BI86" t="s">
        <v>85</v>
      </c>
      <c r="BJ86" t="s">
        <v>4</v>
      </c>
      <c r="BL86" t="s">
        <v>84</v>
      </c>
      <c r="BM86">
        <v>60</v>
      </c>
      <c r="BN86">
        <v>101.22</v>
      </c>
      <c r="BO86">
        <v>4</v>
      </c>
      <c r="BP86" t="s">
        <v>85</v>
      </c>
      <c r="BQ86" t="s">
        <v>4</v>
      </c>
      <c r="BS86" t="s">
        <v>84</v>
      </c>
      <c r="BT86">
        <v>74</v>
      </c>
      <c r="BU86">
        <v>123.57</v>
      </c>
      <c r="BV86">
        <v>8</v>
      </c>
      <c r="BW86" t="s">
        <v>85</v>
      </c>
      <c r="BX86" t="s">
        <v>4</v>
      </c>
    </row>
    <row r="87" spans="1:76" x14ac:dyDescent="0.25">
      <c r="A87" t="s">
        <v>84</v>
      </c>
      <c r="B87">
        <v>88</v>
      </c>
      <c r="C87">
        <v>102.5</v>
      </c>
      <c r="D87">
        <v>2</v>
      </c>
      <c r="E87" t="s">
        <v>85</v>
      </c>
      <c r="F87" t="s">
        <v>3</v>
      </c>
      <c r="H87" t="s">
        <v>84</v>
      </c>
      <c r="I87">
        <v>94</v>
      </c>
      <c r="J87">
        <v>110.04</v>
      </c>
      <c r="K87">
        <v>4</v>
      </c>
      <c r="L87" t="s">
        <v>85</v>
      </c>
      <c r="M87" t="s">
        <v>3</v>
      </c>
      <c r="O87" t="s">
        <v>84</v>
      </c>
      <c r="P87">
        <v>87</v>
      </c>
      <c r="Q87">
        <v>129.66177999999999</v>
      </c>
      <c r="R87">
        <v>6</v>
      </c>
      <c r="S87" t="s">
        <v>85</v>
      </c>
      <c r="T87" t="s">
        <v>3</v>
      </c>
      <c r="V87" t="s">
        <v>84</v>
      </c>
      <c r="W87">
        <v>14</v>
      </c>
      <c r="X87">
        <v>102</v>
      </c>
      <c r="Y87">
        <v>4</v>
      </c>
      <c r="Z87" t="s">
        <v>85</v>
      </c>
      <c r="AA87" t="s">
        <v>5</v>
      </c>
      <c r="AC87" t="s">
        <v>84</v>
      </c>
      <c r="AD87">
        <v>28</v>
      </c>
      <c r="AE87">
        <v>128.78</v>
      </c>
      <c r="AF87">
        <v>8</v>
      </c>
      <c r="AG87" t="s">
        <v>85</v>
      </c>
      <c r="AH87" t="s">
        <v>5</v>
      </c>
      <c r="AJ87" t="s">
        <v>84</v>
      </c>
      <c r="AK87">
        <v>22</v>
      </c>
      <c r="AL87">
        <v>94.29</v>
      </c>
      <c r="AM87">
        <v>1</v>
      </c>
      <c r="AN87" t="s">
        <v>85</v>
      </c>
      <c r="AO87" t="s">
        <v>6</v>
      </c>
      <c r="AQ87" t="s">
        <v>84</v>
      </c>
      <c r="AR87">
        <v>40</v>
      </c>
      <c r="AS87">
        <v>97.52</v>
      </c>
      <c r="AT87">
        <v>2</v>
      </c>
      <c r="AU87" t="s">
        <v>85</v>
      </c>
      <c r="AV87" t="s">
        <v>6</v>
      </c>
      <c r="AX87" t="s">
        <v>84</v>
      </c>
      <c r="AY87">
        <v>57</v>
      </c>
      <c r="AZ87">
        <v>92.7</v>
      </c>
      <c r="BA87">
        <v>4</v>
      </c>
      <c r="BB87" t="s">
        <v>85</v>
      </c>
      <c r="BC87" t="s">
        <v>6</v>
      </c>
      <c r="BE87" t="s">
        <v>84</v>
      </c>
      <c r="BF87">
        <v>47</v>
      </c>
      <c r="BG87">
        <v>95.35</v>
      </c>
      <c r="BH87">
        <v>2</v>
      </c>
      <c r="BI87" t="s">
        <v>85</v>
      </c>
      <c r="BJ87" t="s">
        <v>4</v>
      </c>
      <c r="BL87" t="s">
        <v>84</v>
      </c>
      <c r="BM87">
        <v>61</v>
      </c>
      <c r="BN87">
        <v>95.78</v>
      </c>
      <c r="BO87">
        <v>4</v>
      </c>
      <c r="BP87" t="s">
        <v>85</v>
      </c>
      <c r="BQ87" t="s">
        <v>4</v>
      </c>
      <c r="BS87" t="s">
        <v>84</v>
      </c>
      <c r="BT87">
        <v>76</v>
      </c>
      <c r="BU87">
        <v>165.07</v>
      </c>
      <c r="BV87">
        <v>8</v>
      </c>
      <c r="BW87" t="s">
        <v>85</v>
      </c>
      <c r="BX87" t="s">
        <v>4</v>
      </c>
    </row>
    <row r="88" spans="1:76" x14ac:dyDescent="0.25">
      <c r="A88" t="s">
        <v>84</v>
      </c>
      <c r="B88">
        <v>89</v>
      </c>
      <c r="C88">
        <v>131.5</v>
      </c>
      <c r="D88">
        <v>2</v>
      </c>
      <c r="E88" t="s">
        <v>85</v>
      </c>
      <c r="F88" t="s">
        <v>3</v>
      </c>
      <c r="H88" t="s">
        <v>84</v>
      </c>
      <c r="I88">
        <v>95</v>
      </c>
      <c r="J88">
        <v>100.4</v>
      </c>
      <c r="K88">
        <v>4</v>
      </c>
      <c r="L88" t="s">
        <v>85</v>
      </c>
      <c r="M88" t="s">
        <v>3</v>
      </c>
      <c r="O88" t="s">
        <v>84</v>
      </c>
      <c r="P88">
        <v>1</v>
      </c>
      <c r="Q88">
        <v>116.09</v>
      </c>
      <c r="R88">
        <v>2</v>
      </c>
      <c r="S88" t="s">
        <v>85</v>
      </c>
      <c r="T88" t="s">
        <v>5</v>
      </c>
      <c r="V88" t="s">
        <v>84</v>
      </c>
      <c r="W88">
        <v>15</v>
      </c>
      <c r="X88">
        <v>102</v>
      </c>
      <c r="Y88">
        <v>4</v>
      </c>
      <c r="Z88" t="s">
        <v>85</v>
      </c>
      <c r="AA88" t="s">
        <v>5</v>
      </c>
      <c r="AC88" t="s">
        <v>84</v>
      </c>
      <c r="AD88">
        <v>29</v>
      </c>
      <c r="AE88">
        <v>104.69</v>
      </c>
      <c r="AF88">
        <v>8</v>
      </c>
      <c r="AG88" t="s">
        <v>85</v>
      </c>
      <c r="AH88" t="s">
        <v>5</v>
      </c>
      <c r="AJ88" t="s">
        <v>84</v>
      </c>
      <c r="AK88">
        <v>23</v>
      </c>
      <c r="AL88">
        <v>98.5</v>
      </c>
      <c r="AM88">
        <v>1</v>
      </c>
      <c r="AN88" t="s">
        <v>85</v>
      </c>
      <c r="AO88" t="s">
        <v>6</v>
      </c>
      <c r="AQ88" t="s">
        <v>84</v>
      </c>
      <c r="AR88">
        <v>41</v>
      </c>
      <c r="AS88">
        <v>116.06</v>
      </c>
      <c r="AT88">
        <v>2</v>
      </c>
      <c r="AU88" t="s">
        <v>85</v>
      </c>
      <c r="AV88" t="s">
        <v>6</v>
      </c>
      <c r="AX88" t="s">
        <v>84</v>
      </c>
      <c r="AY88">
        <v>58</v>
      </c>
      <c r="AZ88">
        <v>94.62</v>
      </c>
      <c r="BA88">
        <v>4</v>
      </c>
      <c r="BB88" t="s">
        <v>85</v>
      </c>
      <c r="BC88" t="s">
        <v>6</v>
      </c>
      <c r="BE88" t="s">
        <v>84</v>
      </c>
      <c r="BF88">
        <v>48</v>
      </c>
      <c r="BG88">
        <v>105.48</v>
      </c>
      <c r="BH88">
        <v>2</v>
      </c>
      <c r="BI88" t="s">
        <v>85</v>
      </c>
      <c r="BJ88" t="s">
        <v>4</v>
      </c>
      <c r="BL88" t="s">
        <v>84</v>
      </c>
      <c r="BM88">
        <v>62</v>
      </c>
      <c r="BN88">
        <v>95.81</v>
      </c>
      <c r="BO88">
        <v>4</v>
      </c>
      <c r="BP88" t="s">
        <v>85</v>
      </c>
      <c r="BQ88" t="s">
        <v>4</v>
      </c>
      <c r="BS88" t="s">
        <v>84</v>
      </c>
      <c r="BT88">
        <v>84</v>
      </c>
      <c r="BU88">
        <v>141.56</v>
      </c>
      <c r="BV88">
        <v>8</v>
      </c>
      <c r="BW88" t="s">
        <v>85</v>
      </c>
      <c r="BX88" t="s">
        <v>4</v>
      </c>
    </row>
    <row r="89" spans="1:76" x14ac:dyDescent="0.25">
      <c r="A89" t="s">
        <v>84</v>
      </c>
      <c r="B89">
        <v>90</v>
      </c>
      <c r="C89">
        <v>125.25</v>
      </c>
      <c r="D89">
        <v>2</v>
      </c>
      <c r="E89" t="s">
        <v>85</v>
      </c>
      <c r="F89" t="s">
        <v>3</v>
      </c>
      <c r="H89" t="s">
        <v>84</v>
      </c>
      <c r="I89">
        <v>96</v>
      </c>
      <c r="J89">
        <v>99.88</v>
      </c>
      <c r="K89">
        <v>4</v>
      </c>
      <c r="L89" t="s">
        <v>85</v>
      </c>
      <c r="M89" t="s">
        <v>3</v>
      </c>
      <c r="O89" t="s">
        <v>84</v>
      </c>
      <c r="P89">
        <v>2</v>
      </c>
      <c r="Q89">
        <v>104.93</v>
      </c>
      <c r="R89">
        <v>2</v>
      </c>
      <c r="S89" t="s">
        <v>85</v>
      </c>
      <c r="T89" t="s">
        <v>5</v>
      </c>
      <c r="V89" t="s">
        <v>84</v>
      </c>
      <c r="W89">
        <v>16</v>
      </c>
      <c r="X89">
        <v>102.43</v>
      </c>
      <c r="Y89">
        <v>4</v>
      </c>
      <c r="Z89" t="s">
        <v>85</v>
      </c>
      <c r="AA89" t="s">
        <v>5</v>
      </c>
      <c r="AC89" t="s">
        <v>84</v>
      </c>
      <c r="AD89">
        <v>30</v>
      </c>
      <c r="AE89">
        <v>129.97</v>
      </c>
      <c r="AF89">
        <v>8</v>
      </c>
      <c r="AG89" t="s">
        <v>85</v>
      </c>
      <c r="AH89" t="s">
        <v>5</v>
      </c>
      <c r="AJ89" t="s">
        <v>84</v>
      </c>
      <c r="AK89">
        <v>24</v>
      </c>
      <c r="AL89">
        <v>110.11</v>
      </c>
      <c r="AM89">
        <v>1</v>
      </c>
      <c r="AN89" t="s">
        <v>85</v>
      </c>
      <c r="AO89" t="s">
        <v>6</v>
      </c>
      <c r="AQ89" t="s">
        <v>84</v>
      </c>
      <c r="AR89">
        <v>42</v>
      </c>
      <c r="AS89">
        <v>111.64</v>
      </c>
      <c r="AT89">
        <v>2</v>
      </c>
      <c r="AU89" t="s">
        <v>85</v>
      </c>
      <c r="AV89" t="s">
        <v>6</v>
      </c>
      <c r="AX89" t="s">
        <v>84</v>
      </c>
      <c r="AY89">
        <v>59</v>
      </c>
      <c r="AZ89">
        <v>97</v>
      </c>
      <c r="BA89">
        <v>4</v>
      </c>
      <c r="BB89" t="s">
        <v>85</v>
      </c>
      <c r="BC89" t="s">
        <v>6</v>
      </c>
      <c r="BE89" t="s">
        <v>84</v>
      </c>
      <c r="BF89">
        <v>49</v>
      </c>
      <c r="BG89">
        <v>105.99</v>
      </c>
      <c r="BH89">
        <v>2</v>
      </c>
      <c r="BI89" t="s">
        <v>85</v>
      </c>
      <c r="BJ89" t="s">
        <v>4</v>
      </c>
      <c r="BL89" t="s">
        <v>84</v>
      </c>
      <c r="BM89">
        <v>63</v>
      </c>
      <c r="BN89">
        <v>100.81</v>
      </c>
      <c r="BO89">
        <v>4</v>
      </c>
      <c r="BP89" t="s">
        <v>85</v>
      </c>
      <c r="BQ89" t="s">
        <v>4</v>
      </c>
      <c r="BS89" t="s">
        <v>84</v>
      </c>
      <c r="BT89">
        <v>85</v>
      </c>
      <c r="BU89">
        <v>142.36000000000001</v>
      </c>
      <c r="BV89">
        <v>8</v>
      </c>
      <c r="BW89" t="s">
        <v>85</v>
      </c>
      <c r="BX89" t="s">
        <v>4</v>
      </c>
    </row>
    <row r="90" spans="1:76" x14ac:dyDescent="0.25">
      <c r="A90" t="s">
        <v>84</v>
      </c>
      <c r="B90">
        <v>91</v>
      </c>
      <c r="C90">
        <v>112.4</v>
      </c>
      <c r="D90">
        <v>2</v>
      </c>
      <c r="E90" t="s">
        <v>85</v>
      </c>
      <c r="F90" t="s">
        <v>3</v>
      </c>
      <c r="H90" t="s">
        <v>84</v>
      </c>
      <c r="I90">
        <v>1</v>
      </c>
      <c r="J90">
        <v>106.59</v>
      </c>
      <c r="K90">
        <v>8</v>
      </c>
      <c r="L90" t="s">
        <v>85</v>
      </c>
      <c r="M90" t="s">
        <v>3</v>
      </c>
      <c r="O90" t="s">
        <v>84</v>
      </c>
      <c r="P90">
        <v>3</v>
      </c>
      <c r="Q90">
        <v>98.98</v>
      </c>
      <c r="R90">
        <v>2</v>
      </c>
      <c r="S90" t="s">
        <v>85</v>
      </c>
      <c r="T90" t="s">
        <v>5</v>
      </c>
      <c r="V90" t="s">
        <v>84</v>
      </c>
      <c r="W90">
        <v>17</v>
      </c>
      <c r="X90">
        <v>96.04</v>
      </c>
      <c r="Y90">
        <v>4</v>
      </c>
      <c r="Z90" t="s">
        <v>85</v>
      </c>
      <c r="AA90" t="s">
        <v>5</v>
      </c>
      <c r="AC90" t="s">
        <v>84</v>
      </c>
      <c r="AD90">
        <v>31</v>
      </c>
      <c r="AE90">
        <v>156.59</v>
      </c>
      <c r="AF90">
        <v>8</v>
      </c>
      <c r="AG90" t="s">
        <v>85</v>
      </c>
      <c r="AH90" t="s">
        <v>5</v>
      </c>
      <c r="AJ90" t="s">
        <v>84</v>
      </c>
      <c r="AK90">
        <v>25</v>
      </c>
      <c r="AL90">
        <v>99.5</v>
      </c>
      <c r="AM90">
        <v>1</v>
      </c>
      <c r="AN90" t="s">
        <v>85</v>
      </c>
      <c r="AO90" t="s">
        <v>6</v>
      </c>
      <c r="AQ90" t="s">
        <v>84</v>
      </c>
      <c r="AR90">
        <v>43</v>
      </c>
      <c r="AS90">
        <v>96.09</v>
      </c>
      <c r="AT90">
        <v>2</v>
      </c>
      <c r="AU90" t="s">
        <v>85</v>
      </c>
      <c r="AV90" t="s">
        <v>6</v>
      </c>
      <c r="AX90" t="s">
        <v>84</v>
      </c>
      <c r="AY90">
        <v>60</v>
      </c>
      <c r="AZ90">
        <v>96.22</v>
      </c>
      <c r="BA90">
        <v>4</v>
      </c>
      <c r="BB90" t="s">
        <v>85</v>
      </c>
      <c r="BC90" t="s">
        <v>6</v>
      </c>
      <c r="BE90" t="s">
        <v>84</v>
      </c>
      <c r="BF90">
        <v>50</v>
      </c>
      <c r="BG90">
        <v>104.47</v>
      </c>
      <c r="BH90">
        <v>2</v>
      </c>
      <c r="BI90" t="s">
        <v>85</v>
      </c>
      <c r="BJ90" t="s">
        <v>4</v>
      </c>
      <c r="BL90" t="s">
        <v>84</v>
      </c>
      <c r="BM90">
        <v>64</v>
      </c>
      <c r="BN90">
        <v>101.99</v>
      </c>
      <c r="BO90">
        <v>4</v>
      </c>
      <c r="BP90" t="s">
        <v>85</v>
      </c>
      <c r="BQ90" t="s">
        <v>4</v>
      </c>
      <c r="BS90" t="s">
        <v>84</v>
      </c>
      <c r="BT90">
        <v>88</v>
      </c>
      <c r="BU90">
        <v>96</v>
      </c>
      <c r="BV90">
        <v>8</v>
      </c>
      <c r="BW90" t="s">
        <v>85</v>
      </c>
      <c r="BX90" t="s">
        <v>4</v>
      </c>
    </row>
    <row r="91" spans="1:76" x14ac:dyDescent="0.25">
      <c r="A91" t="s">
        <v>84</v>
      </c>
      <c r="B91">
        <v>92</v>
      </c>
      <c r="C91">
        <v>104.84</v>
      </c>
      <c r="D91">
        <v>2</v>
      </c>
      <c r="E91" t="s">
        <v>85</v>
      </c>
      <c r="F91" t="s">
        <v>3</v>
      </c>
      <c r="H91" t="s">
        <v>84</v>
      </c>
      <c r="I91">
        <v>2</v>
      </c>
      <c r="J91">
        <v>95.43</v>
      </c>
      <c r="K91">
        <v>8</v>
      </c>
      <c r="L91" t="s">
        <v>85</v>
      </c>
      <c r="M91" t="s">
        <v>3</v>
      </c>
      <c r="O91" t="s">
        <v>84</v>
      </c>
      <c r="P91">
        <v>4</v>
      </c>
      <c r="Q91">
        <v>95.87</v>
      </c>
      <c r="R91">
        <v>2</v>
      </c>
      <c r="S91" t="s">
        <v>85</v>
      </c>
      <c r="T91" t="s">
        <v>5</v>
      </c>
      <c r="V91" t="s">
        <v>84</v>
      </c>
      <c r="W91">
        <v>18</v>
      </c>
      <c r="X91">
        <v>97.38</v>
      </c>
      <c r="Y91">
        <v>4</v>
      </c>
      <c r="Z91" t="s">
        <v>85</v>
      </c>
      <c r="AA91" t="s">
        <v>5</v>
      </c>
      <c r="AC91" t="s">
        <v>84</v>
      </c>
      <c r="AD91">
        <v>32</v>
      </c>
      <c r="AE91">
        <v>157</v>
      </c>
      <c r="AF91">
        <v>8</v>
      </c>
      <c r="AG91" t="s">
        <v>85</v>
      </c>
      <c r="AH91" t="s">
        <v>5</v>
      </c>
      <c r="AJ91" t="s">
        <v>84</v>
      </c>
      <c r="AK91">
        <v>26</v>
      </c>
      <c r="AL91">
        <v>109.17</v>
      </c>
      <c r="AM91">
        <v>1</v>
      </c>
      <c r="AN91" t="s">
        <v>85</v>
      </c>
      <c r="AO91" t="s">
        <v>6</v>
      </c>
      <c r="AQ91" t="s">
        <v>84</v>
      </c>
      <c r="AR91">
        <v>44</v>
      </c>
      <c r="AS91">
        <v>94.29</v>
      </c>
      <c r="AT91">
        <v>2</v>
      </c>
      <c r="AU91" t="s">
        <v>85</v>
      </c>
      <c r="AV91" t="s">
        <v>6</v>
      </c>
      <c r="AX91" t="s">
        <v>84</v>
      </c>
      <c r="AY91">
        <v>61</v>
      </c>
      <c r="AZ91">
        <v>90.78</v>
      </c>
      <c r="BA91">
        <v>4</v>
      </c>
      <c r="BB91" t="s">
        <v>85</v>
      </c>
      <c r="BC91" t="s">
        <v>6</v>
      </c>
      <c r="BE91" t="s">
        <v>84</v>
      </c>
      <c r="BF91">
        <v>51</v>
      </c>
      <c r="BG91">
        <v>95.47</v>
      </c>
      <c r="BH91">
        <v>2</v>
      </c>
      <c r="BI91" t="s">
        <v>85</v>
      </c>
      <c r="BJ91" t="s">
        <v>4</v>
      </c>
      <c r="BL91" t="s">
        <v>84</v>
      </c>
      <c r="BM91">
        <v>65</v>
      </c>
      <c r="BN91">
        <v>97</v>
      </c>
      <c r="BO91">
        <v>4</v>
      </c>
      <c r="BP91" t="s">
        <v>85</v>
      </c>
      <c r="BQ91" t="s">
        <v>4</v>
      </c>
      <c r="BS91" t="s">
        <v>84</v>
      </c>
      <c r="BT91">
        <v>89</v>
      </c>
      <c r="BU91">
        <v>122</v>
      </c>
      <c r="BV91">
        <v>8</v>
      </c>
      <c r="BW91" t="s">
        <v>85</v>
      </c>
      <c r="BX91" t="s">
        <v>4</v>
      </c>
    </row>
    <row r="92" spans="1:76" x14ac:dyDescent="0.25">
      <c r="A92" t="s">
        <v>84</v>
      </c>
      <c r="B92">
        <v>93</v>
      </c>
      <c r="C92">
        <v>120.78</v>
      </c>
      <c r="D92">
        <v>2</v>
      </c>
      <c r="E92" t="s">
        <v>85</v>
      </c>
      <c r="F92" t="s">
        <v>3</v>
      </c>
      <c r="H92" t="s">
        <v>84</v>
      </c>
      <c r="I92">
        <v>3</v>
      </c>
      <c r="J92">
        <v>89.48</v>
      </c>
      <c r="K92">
        <v>8</v>
      </c>
      <c r="L92" t="s">
        <v>85</v>
      </c>
      <c r="M92" t="s">
        <v>3</v>
      </c>
      <c r="O92" t="s">
        <v>84</v>
      </c>
      <c r="P92">
        <v>5</v>
      </c>
      <c r="Q92">
        <v>98.98</v>
      </c>
      <c r="R92">
        <v>2</v>
      </c>
      <c r="S92" t="s">
        <v>85</v>
      </c>
      <c r="T92" t="s">
        <v>5</v>
      </c>
      <c r="V92" t="s">
        <v>84</v>
      </c>
      <c r="W92">
        <v>19</v>
      </c>
      <c r="X92">
        <v>100.48</v>
      </c>
      <c r="Y92">
        <v>4</v>
      </c>
      <c r="Z92" t="s">
        <v>85</v>
      </c>
      <c r="AA92" t="s">
        <v>5</v>
      </c>
      <c r="AC92" t="s">
        <v>84</v>
      </c>
      <c r="AD92">
        <v>33</v>
      </c>
      <c r="AE92">
        <v>159.1</v>
      </c>
      <c r="AF92">
        <v>8</v>
      </c>
      <c r="AG92" t="s">
        <v>85</v>
      </c>
      <c r="AH92" t="s">
        <v>5</v>
      </c>
      <c r="AJ92" t="s">
        <v>84</v>
      </c>
      <c r="AK92">
        <v>27</v>
      </c>
      <c r="AL92">
        <v>124.96</v>
      </c>
      <c r="AM92">
        <v>1</v>
      </c>
      <c r="AN92" t="s">
        <v>85</v>
      </c>
      <c r="AO92" t="s">
        <v>6</v>
      </c>
      <c r="AQ92" t="s">
        <v>84</v>
      </c>
      <c r="AR92">
        <v>45</v>
      </c>
      <c r="AS92">
        <v>98.11</v>
      </c>
      <c r="AT92">
        <v>2</v>
      </c>
      <c r="AU92" t="s">
        <v>85</v>
      </c>
      <c r="AV92" t="s">
        <v>6</v>
      </c>
      <c r="AX92" t="s">
        <v>84</v>
      </c>
      <c r="AY92">
        <v>62</v>
      </c>
      <c r="AZ92">
        <v>90.81</v>
      </c>
      <c r="BA92">
        <v>4</v>
      </c>
      <c r="BB92" t="s">
        <v>85</v>
      </c>
      <c r="BC92" t="s">
        <v>6</v>
      </c>
      <c r="BE92" t="s">
        <v>84</v>
      </c>
      <c r="BF92">
        <v>52</v>
      </c>
      <c r="BG92">
        <v>95.47</v>
      </c>
      <c r="BH92">
        <v>2</v>
      </c>
      <c r="BI92" t="s">
        <v>85</v>
      </c>
      <c r="BJ92" t="s">
        <v>4</v>
      </c>
      <c r="BL92" t="s">
        <v>84</v>
      </c>
      <c r="BM92">
        <v>66</v>
      </c>
      <c r="BN92">
        <v>110.56</v>
      </c>
      <c r="BO92">
        <v>4</v>
      </c>
      <c r="BP92" t="s">
        <v>85</v>
      </c>
      <c r="BQ92" t="s">
        <v>4</v>
      </c>
      <c r="BS92" t="s">
        <v>84</v>
      </c>
      <c r="BT92">
        <v>90</v>
      </c>
      <c r="BU92">
        <v>115.75</v>
      </c>
      <c r="BV92">
        <v>8</v>
      </c>
      <c r="BW92" t="s">
        <v>85</v>
      </c>
      <c r="BX92" t="s">
        <v>4</v>
      </c>
    </row>
    <row r="93" spans="1:76" x14ac:dyDescent="0.25">
      <c r="A93" t="s">
        <v>84</v>
      </c>
      <c r="B93">
        <v>94</v>
      </c>
      <c r="C93">
        <v>114.54</v>
      </c>
      <c r="D93">
        <v>2</v>
      </c>
      <c r="E93" t="s">
        <v>85</v>
      </c>
      <c r="F93" t="s">
        <v>3</v>
      </c>
      <c r="H93" t="s">
        <v>84</v>
      </c>
      <c r="I93">
        <v>4</v>
      </c>
      <c r="J93">
        <v>86.37</v>
      </c>
      <c r="K93">
        <v>8</v>
      </c>
      <c r="L93" t="s">
        <v>85</v>
      </c>
      <c r="M93" t="s">
        <v>3</v>
      </c>
      <c r="O93" t="s">
        <v>84</v>
      </c>
      <c r="P93">
        <v>6</v>
      </c>
      <c r="Q93">
        <v>98.98</v>
      </c>
      <c r="R93">
        <v>2</v>
      </c>
      <c r="S93" t="s">
        <v>85</v>
      </c>
      <c r="T93" t="s">
        <v>5</v>
      </c>
      <c r="V93" t="s">
        <v>84</v>
      </c>
      <c r="W93">
        <v>20</v>
      </c>
      <c r="X93">
        <v>87.61</v>
      </c>
      <c r="Y93">
        <v>4</v>
      </c>
      <c r="Z93" t="s">
        <v>85</v>
      </c>
      <c r="AA93" t="s">
        <v>5</v>
      </c>
      <c r="AC93" t="s">
        <v>84</v>
      </c>
      <c r="AD93">
        <v>34</v>
      </c>
      <c r="AE93">
        <v>156.59</v>
      </c>
      <c r="AF93">
        <v>8</v>
      </c>
      <c r="AG93" t="s">
        <v>85</v>
      </c>
      <c r="AH93" t="s">
        <v>5</v>
      </c>
      <c r="AJ93" t="s">
        <v>84</v>
      </c>
      <c r="AK93">
        <v>28</v>
      </c>
      <c r="AL93">
        <v>138.28</v>
      </c>
      <c r="AM93">
        <v>1</v>
      </c>
      <c r="AN93" t="s">
        <v>85</v>
      </c>
      <c r="AO93" t="s">
        <v>6</v>
      </c>
      <c r="AQ93" t="s">
        <v>84</v>
      </c>
      <c r="AR93">
        <v>46</v>
      </c>
      <c r="AS93">
        <v>94.48</v>
      </c>
      <c r="AT93">
        <v>2</v>
      </c>
      <c r="AU93" t="s">
        <v>85</v>
      </c>
      <c r="AV93" t="s">
        <v>6</v>
      </c>
      <c r="AX93" t="s">
        <v>84</v>
      </c>
      <c r="AY93">
        <v>63</v>
      </c>
      <c r="AZ93">
        <v>95.81</v>
      </c>
      <c r="BA93">
        <v>4</v>
      </c>
      <c r="BB93" t="s">
        <v>85</v>
      </c>
      <c r="BC93" t="s">
        <v>6</v>
      </c>
      <c r="BE93" t="s">
        <v>84</v>
      </c>
      <c r="BF93">
        <v>53</v>
      </c>
      <c r="BG93">
        <v>95.95</v>
      </c>
      <c r="BH93">
        <v>2</v>
      </c>
      <c r="BI93" t="s">
        <v>85</v>
      </c>
      <c r="BJ93" t="s">
        <v>4</v>
      </c>
      <c r="BL93" t="s">
        <v>84</v>
      </c>
      <c r="BM93">
        <v>67</v>
      </c>
      <c r="BN93">
        <v>122.69</v>
      </c>
      <c r="BO93">
        <v>4</v>
      </c>
      <c r="BP93" t="s">
        <v>85</v>
      </c>
      <c r="BQ93" t="s">
        <v>4</v>
      </c>
      <c r="BS93" t="s">
        <v>84</v>
      </c>
      <c r="BT93">
        <v>91</v>
      </c>
      <c r="BU93">
        <v>102.9</v>
      </c>
      <c r="BV93">
        <v>8</v>
      </c>
      <c r="BW93" t="s">
        <v>85</v>
      </c>
      <c r="BX93" t="s">
        <v>4</v>
      </c>
    </row>
    <row r="94" spans="1:76" x14ac:dyDescent="0.25">
      <c r="A94" t="s">
        <v>84</v>
      </c>
      <c r="B94">
        <v>95</v>
      </c>
      <c r="C94">
        <v>104.9</v>
      </c>
      <c r="D94">
        <v>2</v>
      </c>
      <c r="E94" t="s">
        <v>85</v>
      </c>
      <c r="F94" t="s">
        <v>3</v>
      </c>
      <c r="H94" t="s">
        <v>84</v>
      </c>
      <c r="I94">
        <v>5</v>
      </c>
      <c r="J94">
        <v>89.48</v>
      </c>
      <c r="K94">
        <v>8</v>
      </c>
      <c r="L94" t="s">
        <v>85</v>
      </c>
      <c r="M94" t="s">
        <v>3</v>
      </c>
      <c r="O94" t="s">
        <v>84</v>
      </c>
      <c r="P94">
        <v>7</v>
      </c>
      <c r="Q94">
        <v>104.98</v>
      </c>
      <c r="R94">
        <v>2</v>
      </c>
      <c r="S94" t="s">
        <v>85</v>
      </c>
      <c r="T94" t="s">
        <v>5</v>
      </c>
      <c r="V94" t="s">
        <v>84</v>
      </c>
      <c r="W94">
        <v>21</v>
      </c>
      <c r="X94">
        <v>86.14</v>
      </c>
      <c r="Y94">
        <v>4</v>
      </c>
      <c r="Z94" t="s">
        <v>85</v>
      </c>
      <c r="AA94" t="s">
        <v>5</v>
      </c>
      <c r="AC94" t="s">
        <v>84</v>
      </c>
      <c r="AD94">
        <v>35</v>
      </c>
      <c r="AE94">
        <v>136.06</v>
      </c>
      <c r="AF94">
        <v>8</v>
      </c>
      <c r="AG94" t="s">
        <v>85</v>
      </c>
      <c r="AH94" t="s">
        <v>5</v>
      </c>
      <c r="AJ94" t="s">
        <v>84</v>
      </c>
      <c r="AK94">
        <v>29</v>
      </c>
      <c r="AL94">
        <v>114.19</v>
      </c>
      <c r="AM94">
        <v>1</v>
      </c>
      <c r="AN94" t="s">
        <v>85</v>
      </c>
      <c r="AO94" t="s">
        <v>6</v>
      </c>
      <c r="AQ94" t="s">
        <v>84</v>
      </c>
      <c r="AR94">
        <v>47</v>
      </c>
      <c r="AS94">
        <v>90.85</v>
      </c>
      <c r="AT94">
        <v>2</v>
      </c>
      <c r="AU94" t="s">
        <v>85</v>
      </c>
      <c r="AV94" t="s">
        <v>6</v>
      </c>
      <c r="AX94" t="s">
        <v>84</v>
      </c>
      <c r="AY94">
        <v>64</v>
      </c>
      <c r="AZ94">
        <v>91.81</v>
      </c>
      <c r="BA94">
        <v>4</v>
      </c>
      <c r="BB94" t="s">
        <v>85</v>
      </c>
      <c r="BC94" t="s">
        <v>6</v>
      </c>
      <c r="BE94" t="s">
        <v>84</v>
      </c>
      <c r="BF94">
        <v>54</v>
      </c>
      <c r="BG94">
        <v>97.58</v>
      </c>
      <c r="BH94">
        <v>2</v>
      </c>
      <c r="BI94" t="s">
        <v>85</v>
      </c>
      <c r="BJ94" t="s">
        <v>4</v>
      </c>
      <c r="BL94" t="s">
        <v>84</v>
      </c>
      <c r="BM94">
        <v>68</v>
      </c>
      <c r="BN94">
        <v>135</v>
      </c>
      <c r="BO94">
        <v>4</v>
      </c>
      <c r="BP94" t="s">
        <v>85</v>
      </c>
      <c r="BQ94" t="s">
        <v>4</v>
      </c>
      <c r="BS94" t="s">
        <v>84</v>
      </c>
      <c r="BT94">
        <v>92</v>
      </c>
      <c r="BU94">
        <v>95.34</v>
      </c>
      <c r="BV94">
        <v>8</v>
      </c>
      <c r="BW94" t="s">
        <v>85</v>
      </c>
      <c r="BX94" t="s">
        <v>4</v>
      </c>
    </row>
    <row r="95" spans="1:76" x14ac:dyDescent="0.25">
      <c r="A95" t="s">
        <v>84</v>
      </c>
      <c r="B95">
        <v>96</v>
      </c>
      <c r="C95">
        <v>104.38</v>
      </c>
      <c r="D95">
        <v>2</v>
      </c>
      <c r="E95" t="s">
        <v>85</v>
      </c>
      <c r="F95" t="s">
        <v>3</v>
      </c>
      <c r="H95" t="s">
        <v>84</v>
      </c>
      <c r="I95">
        <v>6</v>
      </c>
      <c r="J95">
        <v>89.48</v>
      </c>
      <c r="K95">
        <v>8</v>
      </c>
      <c r="L95" t="s">
        <v>85</v>
      </c>
      <c r="M95" t="s">
        <v>3</v>
      </c>
      <c r="O95" t="s">
        <v>84</v>
      </c>
      <c r="P95">
        <v>8</v>
      </c>
      <c r="Q95">
        <v>104.98</v>
      </c>
      <c r="R95">
        <v>2</v>
      </c>
      <c r="S95" t="s">
        <v>85</v>
      </c>
      <c r="T95" t="s">
        <v>5</v>
      </c>
      <c r="V95" t="s">
        <v>84</v>
      </c>
      <c r="W95">
        <v>22</v>
      </c>
      <c r="X95">
        <v>89.79</v>
      </c>
      <c r="Y95">
        <v>4</v>
      </c>
      <c r="Z95" t="s">
        <v>85</v>
      </c>
      <c r="AA95" t="s">
        <v>5</v>
      </c>
      <c r="AC95" t="s">
        <v>84</v>
      </c>
      <c r="AD95">
        <v>36</v>
      </c>
      <c r="AE95">
        <v>110.69</v>
      </c>
      <c r="AF95">
        <v>8</v>
      </c>
      <c r="AG95" t="s">
        <v>85</v>
      </c>
      <c r="AH95" t="s">
        <v>5</v>
      </c>
      <c r="AJ95" t="s">
        <v>84</v>
      </c>
      <c r="AK95">
        <v>30</v>
      </c>
      <c r="AL95">
        <v>139.47</v>
      </c>
      <c r="AM95">
        <v>1</v>
      </c>
      <c r="AN95" t="s">
        <v>85</v>
      </c>
      <c r="AO95" t="s">
        <v>6</v>
      </c>
      <c r="AQ95" t="s">
        <v>84</v>
      </c>
      <c r="AR95">
        <v>48</v>
      </c>
      <c r="AS95">
        <v>100.98</v>
      </c>
      <c r="AT95">
        <v>2</v>
      </c>
      <c r="AU95" t="s">
        <v>85</v>
      </c>
      <c r="AV95" t="s">
        <v>6</v>
      </c>
      <c r="AX95" t="s">
        <v>84</v>
      </c>
      <c r="AY95">
        <v>65</v>
      </c>
      <c r="AZ95">
        <v>92</v>
      </c>
      <c r="BA95">
        <v>4</v>
      </c>
      <c r="BB95" t="s">
        <v>85</v>
      </c>
      <c r="BC95" t="s">
        <v>6</v>
      </c>
      <c r="BE95" t="s">
        <v>84</v>
      </c>
      <c r="BF95">
        <v>55</v>
      </c>
      <c r="BG95">
        <v>99.07</v>
      </c>
      <c r="BH95">
        <v>2</v>
      </c>
      <c r="BI95" t="s">
        <v>85</v>
      </c>
      <c r="BJ95" t="s">
        <v>4</v>
      </c>
      <c r="BL95" t="s">
        <v>84</v>
      </c>
      <c r="BM95">
        <v>69</v>
      </c>
      <c r="BN95">
        <v>108.28</v>
      </c>
      <c r="BO95">
        <v>4</v>
      </c>
      <c r="BP95" t="s">
        <v>85</v>
      </c>
      <c r="BQ95" t="s">
        <v>4</v>
      </c>
      <c r="BS95" t="s">
        <v>84</v>
      </c>
      <c r="BT95">
        <v>93</v>
      </c>
      <c r="BU95">
        <v>111.28</v>
      </c>
      <c r="BV95">
        <v>8</v>
      </c>
      <c r="BW95" t="s">
        <v>85</v>
      </c>
      <c r="BX95" t="s">
        <v>4</v>
      </c>
    </row>
    <row r="96" spans="1:76" x14ac:dyDescent="0.25">
      <c r="A96" t="s">
        <v>84</v>
      </c>
      <c r="B96">
        <v>1</v>
      </c>
      <c r="C96">
        <v>111.59</v>
      </c>
      <c r="D96">
        <v>4</v>
      </c>
      <c r="E96" t="s">
        <v>85</v>
      </c>
      <c r="F96" t="s">
        <v>3</v>
      </c>
      <c r="H96" t="s">
        <v>84</v>
      </c>
      <c r="I96">
        <v>7</v>
      </c>
      <c r="J96">
        <v>95.48</v>
      </c>
      <c r="K96">
        <v>8</v>
      </c>
      <c r="L96" t="s">
        <v>85</v>
      </c>
      <c r="M96" t="s">
        <v>3</v>
      </c>
      <c r="O96" t="s">
        <v>84</v>
      </c>
      <c r="P96">
        <v>9</v>
      </c>
      <c r="Q96">
        <v>104.98</v>
      </c>
      <c r="R96">
        <v>2</v>
      </c>
      <c r="S96" t="s">
        <v>85</v>
      </c>
      <c r="T96" t="s">
        <v>5</v>
      </c>
      <c r="V96" t="s">
        <v>84</v>
      </c>
      <c r="W96">
        <v>23</v>
      </c>
      <c r="X96">
        <v>94</v>
      </c>
      <c r="Y96">
        <v>4</v>
      </c>
      <c r="Z96" t="s">
        <v>85</v>
      </c>
      <c r="AA96" t="s">
        <v>5</v>
      </c>
      <c r="AC96" t="s">
        <v>84</v>
      </c>
      <c r="AD96">
        <v>37</v>
      </c>
      <c r="AE96">
        <v>141</v>
      </c>
      <c r="AF96">
        <v>8</v>
      </c>
      <c r="AG96" t="s">
        <v>85</v>
      </c>
      <c r="AH96" t="s">
        <v>5</v>
      </c>
      <c r="AJ96" t="s">
        <v>84</v>
      </c>
      <c r="AK96">
        <v>31</v>
      </c>
      <c r="AL96">
        <v>166.09</v>
      </c>
      <c r="AM96">
        <v>1</v>
      </c>
      <c r="AN96" t="s">
        <v>85</v>
      </c>
      <c r="AO96" t="s">
        <v>6</v>
      </c>
      <c r="AQ96" t="s">
        <v>84</v>
      </c>
      <c r="AR96">
        <v>49</v>
      </c>
      <c r="AS96">
        <v>101.49</v>
      </c>
      <c r="AT96">
        <v>2</v>
      </c>
      <c r="AU96" t="s">
        <v>85</v>
      </c>
      <c r="AV96" t="s">
        <v>6</v>
      </c>
      <c r="AX96" t="s">
        <v>84</v>
      </c>
      <c r="AY96">
        <v>66</v>
      </c>
      <c r="AZ96">
        <v>105.56</v>
      </c>
      <c r="BA96">
        <v>4</v>
      </c>
      <c r="BB96" t="s">
        <v>85</v>
      </c>
      <c r="BC96" t="s">
        <v>6</v>
      </c>
      <c r="BE96" t="s">
        <v>84</v>
      </c>
      <c r="BF96">
        <v>56</v>
      </c>
      <c r="BG96">
        <v>101.5</v>
      </c>
      <c r="BH96">
        <v>2</v>
      </c>
      <c r="BI96" t="s">
        <v>85</v>
      </c>
      <c r="BJ96" t="s">
        <v>4</v>
      </c>
      <c r="BL96" t="s">
        <v>84</v>
      </c>
      <c r="BM96">
        <v>70</v>
      </c>
      <c r="BN96">
        <v>120.71</v>
      </c>
      <c r="BO96">
        <v>4</v>
      </c>
      <c r="BP96" t="s">
        <v>85</v>
      </c>
      <c r="BQ96" t="s">
        <v>4</v>
      </c>
      <c r="BS96" t="s">
        <v>84</v>
      </c>
      <c r="BT96">
        <v>94</v>
      </c>
      <c r="BU96">
        <v>105.04</v>
      </c>
      <c r="BV96">
        <v>8</v>
      </c>
      <c r="BW96" t="s">
        <v>85</v>
      </c>
      <c r="BX96" t="s">
        <v>4</v>
      </c>
    </row>
    <row r="97" spans="1:76" x14ac:dyDescent="0.25">
      <c r="A97" t="s">
        <v>84</v>
      </c>
      <c r="B97">
        <v>2</v>
      </c>
      <c r="C97">
        <v>100.43</v>
      </c>
      <c r="D97">
        <v>4</v>
      </c>
      <c r="E97" t="s">
        <v>85</v>
      </c>
      <c r="F97" t="s">
        <v>3</v>
      </c>
      <c r="H97" t="s">
        <v>84</v>
      </c>
      <c r="I97">
        <v>8</v>
      </c>
      <c r="J97">
        <v>95.48</v>
      </c>
      <c r="K97">
        <v>8</v>
      </c>
      <c r="L97" t="s">
        <v>85</v>
      </c>
      <c r="M97" t="s">
        <v>3</v>
      </c>
      <c r="O97" t="s">
        <v>84</v>
      </c>
      <c r="P97">
        <v>10</v>
      </c>
      <c r="Q97">
        <v>104.98</v>
      </c>
      <c r="R97">
        <v>2</v>
      </c>
      <c r="S97" t="s">
        <v>85</v>
      </c>
      <c r="T97" t="s">
        <v>5</v>
      </c>
      <c r="V97" t="s">
        <v>84</v>
      </c>
      <c r="W97">
        <v>24</v>
      </c>
      <c r="X97">
        <v>105.61</v>
      </c>
      <c r="Y97">
        <v>4</v>
      </c>
      <c r="Z97" t="s">
        <v>85</v>
      </c>
      <c r="AA97" t="s">
        <v>5</v>
      </c>
      <c r="AC97" t="s">
        <v>84</v>
      </c>
      <c r="AD97">
        <v>38</v>
      </c>
      <c r="AE97">
        <v>117</v>
      </c>
      <c r="AF97">
        <v>8</v>
      </c>
      <c r="AG97" t="s">
        <v>85</v>
      </c>
      <c r="AH97" t="s">
        <v>5</v>
      </c>
      <c r="AJ97" t="s">
        <v>84</v>
      </c>
      <c r="AK97">
        <v>32</v>
      </c>
      <c r="AL97">
        <v>166.5</v>
      </c>
      <c r="AM97">
        <v>1</v>
      </c>
      <c r="AN97" t="s">
        <v>85</v>
      </c>
      <c r="AO97" t="s">
        <v>6</v>
      </c>
      <c r="AQ97" t="s">
        <v>84</v>
      </c>
      <c r="AR97">
        <v>50</v>
      </c>
      <c r="AS97">
        <v>99.97</v>
      </c>
      <c r="AT97">
        <v>2</v>
      </c>
      <c r="AU97" t="s">
        <v>85</v>
      </c>
      <c r="AV97" t="s">
        <v>6</v>
      </c>
      <c r="AX97" t="s">
        <v>84</v>
      </c>
      <c r="AY97">
        <v>67</v>
      </c>
      <c r="AZ97">
        <v>116</v>
      </c>
      <c r="BA97">
        <v>4</v>
      </c>
      <c r="BB97" t="s">
        <v>85</v>
      </c>
      <c r="BC97" t="s">
        <v>6</v>
      </c>
      <c r="BE97" t="s">
        <v>84</v>
      </c>
      <c r="BF97">
        <v>57</v>
      </c>
      <c r="BG97">
        <v>102.2</v>
      </c>
      <c r="BH97">
        <v>2</v>
      </c>
      <c r="BI97" t="s">
        <v>85</v>
      </c>
      <c r="BJ97" t="s">
        <v>4</v>
      </c>
      <c r="BL97" t="s">
        <v>84</v>
      </c>
      <c r="BM97">
        <v>71</v>
      </c>
      <c r="BN97">
        <v>136.77000000000001</v>
      </c>
      <c r="BO97">
        <v>4</v>
      </c>
      <c r="BP97" t="s">
        <v>85</v>
      </c>
      <c r="BQ97" t="s">
        <v>4</v>
      </c>
      <c r="BS97" t="s">
        <v>84</v>
      </c>
      <c r="BT97">
        <v>95</v>
      </c>
      <c r="BU97">
        <v>95.4</v>
      </c>
      <c r="BV97">
        <v>8</v>
      </c>
      <c r="BW97" t="s">
        <v>85</v>
      </c>
      <c r="BX97" t="s">
        <v>4</v>
      </c>
    </row>
    <row r="98" spans="1:76" x14ac:dyDescent="0.25">
      <c r="A98" t="s">
        <v>84</v>
      </c>
      <c r="B98">
        <v>3</v>
      </c>
      <c r="C98">
        <v>94.48</v>
      </c>
      <c r="D98">
        <v>4</v>
      </c>
      <c r="E98" t="s">
        <v>85</v>
      </c>
      <c r="F98" t="s">
        <v>3</v>
      </c>
      <c r="H98" t="s">
        <v>84</v>
      </c>
      <c r="I98">
        <v>9</v>
      </c>
      <c r="J98">
        <v>95.48</v>
      </c>
      <c r="K98">
        <v>8</v>
      </c>
      <c r="L98" t="s">
        <v>85</v>
      </c>
      <c r="M98" t="s">
        <v>3</v>
      </c>
      <c r="O98" t="s">
        <v>84</v>
      </c>
      <c r="P98">
        <v>11</v>
      </c>
      <c r="Q98">
        <v>104.98</v>
      </c>
      <c r="R98">
        <v>2</v>
      </c>
      <c r="S98" t="s">
        <v>85</v>
      </c>
      <c r="T98" t="s">
        <v>5</v>
      </c>
      <c r="V98" t="s">
        <v>84</v>
      </c>
      <c r="W98">
        <v>25</v>
      </c>
      <c r="X98">
        <v>91.58</v>
      </c>
      <c r="Y98">
        <v>4</v>
      </c>
      <c r="Z98" t="s">
        <v>85</v>
      </c>
      <c r="AA98" t="s">
        <v>5</v>
      </c>
      <c r="AC98" t="s">
        <v>84</v>
      </c>
      <c r="AD98">
        <v>39</v>
      </c>
      <c r="AE98">
        <v>109.43</v>
      </c>
      <c r="AF98">
        <v>8</v>
      </c>
      <c r="AG98" t="s">
        <v>85</v>
      </c>
      <c r="AH98" t="s">
        <v>5</v>
      </c>
      <c r="AJ98" t="s">
        <v>84</v>
      </c>
      <c r="AK98">
        <v>33</v>
      </c>
      <c r="AL98">
        <v>168.6</v>
      </c>
      <c r="AM98">
        <v>1</v>
      </c>
      <c r="AN98" t="s">
        <v>85</v>
      </c>
      <c r="AO98" t="s">
        <v>6</v>
      </c>
      <c r="AQ98" t="s">
        <v>84</v>
      </c>
      <c r="AR98">
        <v>51</v>
      </c>
      <c r="AS98">
        <v>90.97</v>
      </c>
      <c r="AT98">
        <v>2</v>
      </c>
      <c r="AU98" t="s">
        <v>85</v>
      </c>
      <c r="AV98" t="s">
        <v>6</v>
      </c>
      <c r="AX98" t="s">
        <v>84</v>
      </c>
      <c r="AY98">
        <v>68</v>
      </c>
      <c r="AZ98">
        <v>125.54</v>
      </c>
      <c r="BA98">
        <v>4</v>
      </c>
      <c r="BB98" t="s">
        <v>85</v>
      </c>
      <c r="BC98" t="s">
        <v>6</v>
      </c>
      <c r="BE98" t="s">
        <v>84</v>
      </c>
      <c r="BF98">
        <v>58</v>
      </c>
      <c r="BG98">
        <v>104.12</v>
      </c>
      <c r="BH98">
        <v>2</v>
      </c>
      <c r="BI98" t="s">
        <v>85</v>
      </c>
      <c r="BJ98" t="s">
        <v>4</v>
      </c>
      <c r="BL98" t="s">
        <v>84</v>
      </c>
      <c r="BM98">
        <v>72</v>
      </c>
      <c r="BN98">
        <v>157</v>
      </c>
      <c r="BO98">
        <v>4</v>
      </c>
      <c r="BP98" t="s">
        <v>85</v>
      </c>
      <c r="BQ98" t="s">
        <v>4</v>
      </c>
      <c r="BS98" t="s">
        <v>84</v>
      </c>
      <c r="BT98">
        <v>96</v>
      </c>
      <c r="BU98">
        <v>94.88</v>
      </c>
      <c r="BV98">
        <v>8</v>
      </c>
      <c r="BW98" t="s">
        <v>85</v>
      </c>
      <c r="BX98" t="s">
        <v>4</v>
      </c>
    </row>
    <row r="99" spans="1:76" x14ac:dyDescent="0.25">
      <c r="A99" t="s">
        <v>84</v>
      </c>
      <c r="B99">
        <v>4</v>
      </c>
      <c r="C99">
        <v>91.37</v>
      </c>
      <c r="D99">
        <v>4</v>
      </c>
      <c r="E99" t="s">
        <v>85</v>
      </c>
      <c r="F99" t="s">
        <v>3</v>
      </c>
      <c r="H99" t="s">
        <v>84</v>
      </c>
      <c r="I99">
        <v>10</v>
      </c>
      <c r="J99">
        <v>95.48</v>
      </c>
      <c r="K99">
        <v>8</v>
      </c>
      <c r="L99" t="s">
        <v>85</v>
      </c>
      <c r="M99" t="s">
        <v>3</v>
      </c>
      <c r="O99" t="s">
        <v>84</v>
      </c>
      <c r="P99">
        <v>12</v>
      </c>
      <c r="Q99">
        <v>104.98</v>
      </c>
      <c r="R99">
        <v>2</v>
      </c>
      <c r="S99" t="s">
        <v>85</v>
      </c>
      <c r="T99" t="s">
        <v>5</v>
      </c>
      <c r="V99" t="s">
        <v>84</v>
      </c>
      <c r="W99">
        <v>26</v>
      </c>
      <c r="X99">
        <v>104.67</v>
      </c>
      <c r="Y99">
        <v>4</v>
      </c>
      <c r="Z99" t="s">
        <v>85</v>
      </c>
      <c r="AA99" t="s">
        <v>5</v>
      </c>
      <c r="AC99" t="s">
        <v>84</v>
      </c>
      <c r="AD99">
        <v>40</v>
      </c>
      <c r="AE99">
        <v>92.52</v>
      </c>
      <c r="AF99">
        <v>8</v>
      </c>
      <c r="AG99" t="s">
        <v>85</v>
      </c>
      <c r="AH99" t="s">
        <v>5</v>
      </c>
      <c r="AJ99" t="s">
        <v>84</v>
      </c>
      <c r="AK99">
        <v>35</v>
      </c>
      <c r="AL99">
        <v>145.56</v>
      </c>
      <c r="AM99">
        <v>1</v>
      </c>
      <c r="AN99" t="s">
        <v>85</v>
      </c>
      <c r="AO99" t="s">
        <v>6</v>
      </c>
      <c r="AQ99" t="s">
        <v>84</v>
      </c>
      <c r="AR99">
        <v>52</v>
      </c>
      <c r="AS99">
        <v>90.97</v>
      </c>
      <c r="AT99">
        <v>2</v>
      </c>
      <c r="AU99" t="s">
        <v>85</v>
      </c>
      <c r="AV99" t="s">
        <v>6</v>
      </c>
      <c r="AX99" t="s">
        <v>84</v>
      </c>
      <c r="AY99">
        <v>69</v>
      </c>
      <c r="AZ99">
        <v>103.28</v>
      </c>
      <c r="BA99">
        <v>4</v>
      </c>
      <c r="BB99" t="s">
        <v>85</v>
      </c>
      <c r="BC99" t="s">
        <v>6</v>
      </c>
      <c r="BE99" t="s">
        <v>84</v>
      </c>
      <c r="BF99">
        <v>59</v>
      </c>
      <c r="BG99">
        <v>106.5</v>
      </c>
      <c r="BH99">
        <v>2</v>
      </c>
      <c r="BI99" t="s">
        <v>85</v>
      </c>
      <c r="BJ99" t="s">
        <v>4</v>
      </c>
      <c r="BL99" t="s">
        <v>84</v>
      </c>
      <c r="BM99">
        <v>73</v>
      </c>
      <c r="BN99">
        <v>129.86000000000001</v>
      </c>
      <c r="BO99">
        <v>4</v>
      </c>
      <c r="BP99" t="s">
        <v>85</v>
      </c>
      <c r="BQ99" t="s">
        <v>4</v>
      </c>
      <c r="BS99" t="s">
        <v>84</v>
      </c>
      <c r="BT99">
        <v>75</v>
      </c>
      <c r="BU99">
        <v>158.07</v>
      </c>
      <c r="BV99">
        <v>8</v>
      </c>
      <c r="BW99" t="s">
        <v>85</v>
      </c>
      <c r="BX99" t="s">
        <v>4</v>
      </c>
    </row>
    <row r="100" spans="1:76" x14ac:dyDescent="0.25">
      <c r="A100" t="s">
        <v>84</v>
      </c>
      <c r="B100">
        <v>5</v>
      </c>
      <c r="C100">
        <v>94.48</v>
      </c>
      <c r="D100">
        <v>4</v>
      </c>
      <c r="E100" t="s">
        <v>85</v>
      </c>
      <c r="F100" t="s">
        <v>3</v>
      </c>
      <c r="H100" t="s">
        <v>84</v>
      </c>
      <c r="I100">
        <v>11</v>
      </c>
      <c r="J100">
        <v>95.48</v>
      </c>
      <c r="K100">
        <v>8</v>
      </c>
      <c r="L100" t="s">
        <v>85</v>
      </c>
      <c r="M100" t="s">
        <v>3</v>
      </c>
      <c r="O100" t="s">
        <v>84</v>
      </c>
      <c r="P100">
        <v>13</v>
      </c>
      <c r="Q100">
        <v>105.4</v>
      </c>
      <c r="R100">
        <v>2</v>
      </c>
      <c r="S100" t="s">
        <v>85</v>
      </c>
      <c r="T100" t="s">
        <v>5</v>
      </c>
      <c r="V100" t="s">
        <v>84</v>
      </c>
      <c r="W100">
        <v>27</v>
      </c>
      <c r="X100">
        <v>120.46</v>
      </c>
      <c r="Y100">
        <v>4</v>
      </c>
      <c r="Z100" t="s">
        <v>85</v>
      </c>
      <c r="AA100" t="s">
        <v>5</v>
      </c>
      <c r="AC100" t="s">
        <v>84</v>
      </c>
      <c r="AD100">
        <v>41</v>
      </c>
      <c r="AE100">
        <v>117</v>
      </c>
      <c r="AF100">
        <v>8</v>
      </c>
      <c r="AG100" t="s">
        <v>85</v>
      </c>
      <c r="AH100" t="s">
        <v>5</v>
      </c>
      <c r="AJ100" t="s">
        <v>84</v>
      </c>
      <c r="AK100">
        <v>36</v>
      </c>
      <c r="AL100">
        <v>120.19</v>
      </c>
      <c r="AM100">
        <v>1</v>
      </c>
      <c r="AN100" t="s">
        <v>85</v>
      </c>
      <c r="AO100" t="s">
        <v>6</v>
      </c>
      <c r="AQ100" t="s">
        <v>84</v>
      </c>
      <c r="AR100">
        <v>53</v>
      </c>
      <c r="AS100">
        <v>91.45</v>
      </c>
      <c r="AT100">
        <v>2</v>
      </c>
      <c r="AU100" t="s">
        <v>85</v>
      </c>
      <c r="AV100" t="s">
        <v>6</v>
      </c>
      <c r="AX100" t="s">
        <v>84</v>
      </c>
      <c r="AY100">
        <v>70</v>
      </c>
      <c r="AZ100">
        <v>115.71</v>
      </c>
      <c r="BA100">
        <v>4</v>
      </c>
      <c r="BB100" t="s">
        <v>85</v>
      </c>
      <c r="BC100" t="s">
        <v>6</v>
      </c>
      <c r="BE100" t="s">
        <v>84</v>
      </c>
      <c r="BF100">
        <v>60</v>
      </c>
      <c r="BG100">
        <v>105.72</v>
      </c>
      <c r="BH100">
        <v>2</v>
      </c>
      <c r="BI100" t="s">
        <v>85</v>
      </c>
      <c r="BJ100" t="s">
        <v>4</v>
      </c>
      <c r="BL100" t="s">
        <v>84</v>
      </c>
      <c r="BM100">
        <v>74</v>
      </c>
      <c r="BN100">
        <v>128.57</v>
      </c>
      <c r="BO100">
        <v>4</v>
      </c>
      <c r="BP100" t="s">
        <v>85</v>
      </c>
      <c r="BQ100" t="s">
        <v>4</v>
      </c>
      <c r="BS100" t="s">
        <v>84</v>
      </c>
      <c r="BT100">
        <v>77</v>
      </c>
      <c r="BU100">
        <v>158.07</v>
      </c>
      <c r="BV100">
        <v>8</v>
      </c>
      <c r="BW100" t="s">
        <v>85</v>
      </c>
      <c r="BX100" t="s">
        <v>4</v>
      </c>
    </row>
    <row r="101" spans="1:76" x14ac:dyDescent="0.25">
      <c r="A101" t="s">
        <v>84</v>
      </c>
      <c r="B101">
        <v>6</v>
      </c>
      <c r="C101">
        <v>94.48</v>
      </c>
      <c r="D101">
        <v>4</v>
      </c>
      <c r="E101" t="s">
        <v>85</v>
      </c>
      <c r="F101" t="s">
        <v>3</v>
      </c>
      <c r="H101" t="s">
        <v>84</v>
      </c>
      <c r="I101">
        <v>12</v>
      </c>
      <c r="J101">
        <v>95.48</v>
      </c>
      <c r="K101">
        <v>8</v>
      </c>
      <c r="L101" t="s">
        <v>85</v>
      </c>
      <c r="M101" t="s">
        <v>3</v>
      </c>
      <c r="O101" t="s">
        <v>84</v>
      </c>
      <c r="P101">
        <v>14</v>
      </c>
      <c r="Q101">
        <v>106.5</v>
      </c>
      <c r="R101">
        <v>2</v>
      </c>
      <c r="S101" t="s">
        <v>85</v>
      </c>
      <c r="T101" t="s">
        <v>5</v>
      </c>
      <c r="V101" t="s">
        <v>84</v>
      </c>
      <c r="W101">
        <v>28</v>
      </c>
      <c r="X101">
        <v>133.78</v>
      </c>
      <c r="Y101">
        <v>4</v>
      </c>
      <c r="Z101" t="s">
        <v>85</v>
      </c>
      <c r="AA101" t="s">
        <v>5</v>
      </c>
      <c r="AC101" t="s">
        <v>84</v>
      </c>
      <c r="AD101">
        <v>42</v>
      </c>
      <c r="AE101">
        <v>106.64</v>
      </c>
      <c r="AF101">
        <v>8</v>
      </c>
      <c r="AG101" t="s">
        <v>85</v>
      </c>
      <c r="AH101" t="s">
        <v>5</v>
      </c>
      <c r="AJ101" t="s">
        <v>84</v>
      </c>
      <c r="AK101">
        <v>37</v>
      </c>
      <c r="AL101">
        <v>150.5</v>
      </c>
      <c r="AM101">
        <v>1</v>
      </c>
      <c r="AN101" t="s">
        <v>85</v>
      </c>
      <c r="AO101" t="s">
        <v>6</v>
      </c>
      <c r="AQ101" t="s">
        <v>84</v>
      </c>
      <c r="AR101">
        <v>54</v>
      </c>
      <c r="AS101">
        <v>93.08</v>
      </c>
      <c r="AT101">
        <v>2</v>
      </c>
      <c r="AU101" t="s">
        <v>85</v>
      </c>
      <c r="AV101" t="s">
        <v>6</v>
      </c>
      <c r="AX101" t="s">
        <v>84</v>
      </c>
      <c r="AY101">
        <v>71</v>
      </c>
      <c r="AZ101">
        <v>131.77000000000001</v>
      </c>
      <c r="BA101">
        <v>4</v>
      </c>
      <c r="BB101" t="s">
        <v>85</v>
      </c>
      <c r="BC101" t="s">
        <v>6</v>
      </c>
      <c r="BE101" t="s">
        <v>84</v>
      </c>
      <c r="BF101">
        <v>61</v>
      </c>
      <c r="BG101">
        <v>100.28</v>
      </c>
      <c r="BH101">
        <v>2</v>
      </c>
      <c r="BI101" t="s">
        <v>85</v>
      </c>
      <c r="BJ101" t="s">
        <v>4</v>
      </c>
      <c r="BL101" t="s">
        <v>84</v>
      </c>
      <c r="BM101">
        <v>76</v>
      </c>
      <c r="BN101">
        <v>170.07</v>
      </c>
      <c r="BO101">
        <v>4</v>
      </c>
      <c r="BP101" t="s">
        <v>85</v>
      </c>
      <c r="BQ101" t="s">
        <v>4</v>
      </c>
      <c r="BS101" t="s">
        <v>84</v>
      </c>
      <c r="BT101">
        <v>78</v>
      </c>
      <c r="BU101">
        <v>160.32</v>
      </c>
      <c r="BV101">
        <v>8</v>
      </c>
      <c r="BW101" t="s">
        <v>85</v>
      </c>
      <c r="BX101" t="s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F40"/>
  <sheetViews>
    <sheetView workbookViewId="0">
      <selection activeCell="O11" sqref="O11"/>
    </sheetView>
  </sheetViews>
  <sheetFormatPr defaultRowHeight="15" x14ac:dyDescent="0.25"/>
  <cols>
    <col min="2" max="2" width="9.5703125" customWidth="1"/>
  </cols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91</v>
      </c>
    </row>
    <row r="2" spans="1:6" x14ac:dyDescent="0.25">
      <c r="A2" t="s">
        <v>92</v>
      </c>
      <c r="B2">
        <v>21</v>
      </c>
      <c r="C2">
        <v>104.691</v>
      </c>
      <c r="D2">
        <v>12</v>
      </c>
      <c r="E2" t="s">
        <v>85</v>
      </c>
      <c r="F2" t="s">
        <v>4</v>
      </c>
    </row>
    <row r="3" spans="1:6" x14ac:dyDescent="0.25">
      <c r="A3" t="s">
        <v>92</v>
      </c>
      <c r="B3">
        <v>21</v>
      </c>
      <c r="C3">
        <v>104.691</v>
      </c>
      <c r="D3">
        <v>12</v>
      </c>
      <c r="E3" t="s">
        <v>85</v>
      </c>
      <c r="F3" t="s">
        <v>3</v>
      </c>
    </row>
    <row r="4" spans="1:6" x14ac:dyDescent="0.25">
      <c r="A4" t="s">
        <v>92</v>
      </c>
      <c r="B4">
        <v>21</v>
      </c>
      <c r="C4">
        <v>104.691</v>
      </c>
      <c r="D4">
        <v>4</v>
      </c>
      <c r="E4" t="s">
        <v>85</v>
      </c>
      <c r="F4" t="s">
        <v>6</v>
      </c>
    </row>
    <row r="5" spans="1:6" x14ac:dyDescent="0.25">
      <c r="A5" t="s">
        <v>92</v>
      </c>
      <c r="B5">
        <v>21</v>
      </c>
      <c r="C5">
        <v>104.691</v>
      </c>
      <c r="D5">
        <v>12</v>
      </c>
      <c r="E5" t="s">
        <v>85</v>
      </c>
      <c r="F5" t="s">
        <v>5</v>
      </c>
    </row>
    <row r="6" spans="1:6" x14ac:dyDescent="0.25">
      <c r="A6" t="s">
        <v>92</v>
      </c>
      <c r="B6">
        <v>20</v>
      </c>
      <c r="C6">
        <v>104.56868</v>
      </c>
      <c r="D6">
        <v>4</v>
      </c>
      <c r="E6" t="s">
        <v>85</v>
      </c>
      <c r="F6" t="s">
        <v>6</v>
      </c>
    </row>
    <row r="7" spans="1:6" x14ac:dyDescent="0.25">
      <c r="A7" t="s">
        <v>92</v>
      </c>
      <c r="B7">
        <v>22</v>
      </c>
      <c r="C7">
        <v>106.6887</v>
      </c>
      <c r="D7">
        <v>12</v>
      </c>
      <c r="E7" t="s">
        <v>85</v>
      </c>
      <c r="F7" t="s">
        <v>4</v>
      </c>
    </row>
    <row r="8" spans="1:6" x14ac:dyDescent="0.25">
      <c r="A8" t="s">
        <v>92</v>
      </c>
      <c r="B8">
        <v>22</v>
      </c>
      <c r="C8">
        <v>106.6887</v>
      </c>
      <c r="D8">
        <v>12</v>
      </c>
      <c r="E8" t="s">
        <v>85</v>
      </c>
      <c r="F8" t="s">
        <v>3</v>
      </c>
    </row>
    <row r="9" spans="1:6" x14ac:dyDescent="0.25">
      <c r="A9" t="s">
        <v>92</v>
      </c>
      <c r="B9">
        <v>22</v>
      </c>
      <c r="C9">
        <v>106.6887</v>
      </c>
      <c r="D9">
        <v>4</v>
      </c>
      <c r="E9" t="s">
        <v>85</v>
      </c>
      <c r="F9" t="s">
        <v>6</v>
      </c>
    </row>
    <row r="10" spans="1:6" x14ac:dyDescent="0.25">
      <c r="A10" t="s">
        <v>92</v>
      </c>
      <c r="B10">
        <v>22</v>
      </c>
      <c r="C10">
        <v>106.6887</v>
      </c>
      <c r="D10">
        <v>12</v>
      </c>
      <c r="E10" t="s">
        <v>85</v>
      </c>
      <c r="F10" t="s">
        <v>5</v>
      </c>
    </row>
    <row r="11" spans="1:6" x14ac:dyDescent="0.25">
      <c r="A11" t="s">
        <v>92</v>
      </c>
      <c r="B11">
        <v>23</v>
      </c>
      <c r="C11">
        <v>110.89870000000001</v>
      </c>
      <c r="D11">
        <v>12</v>
      </c>
      <c r="E11" t="s">
        <v>85</v>
      </c>
      <c r="F11" t="s">
        <v>4</v>
      </c>
    </row>
    <row r="12" spans="1:6" x14ac:dyDescent="0.25">
      <c r="A12" t="s">
        <v>92</v>
      </c>
      <c r="B12">
        <v>23</v>
      </c>
      <c r="C12">
        <v>110.89870000000001</v>
      </c>
      <c r="D12">
        <v>12</v>
      </c>
      <c r="E12" t="s">
        <v>85</v>
      </c>
      <c r="F12" t="s">
        <v>3</v>
      </c>
    </row>
    <row r="13" spans="1:6" x14ac:dyDescent="0.25">
      <c r="A13" t="s">
        <v>92</v>
      </c>
      <c r="B13">
        <v>23</v>
      </c>
      <c r="C13">
        <v>110.89870000000001</v>
      </c>
      <c r="D13">
        <v>4</v>
      </c>
      <c r="E13" t="s">
        <v>85</v>
      </c>
      <c r="F13" t="s">
        <v>6</v>
      </c>
    </row>
    <row r="14" spans="1:6" x14ac:dyDescent="0.25">
      <c r="A14" t="s">
        <v>92</v>
      </c>
      <c r="B14">
        <v>23</v>
      </c>
      <c r="C14">
        <v>110.89870000000001</v>
      </c>
      <c r="D14">
        <v>12</v>
      </c>
      <c r="E14" t="s">
        <v>85</v>
      </c>
      <c r="F14" t="s">
        <v>5</v>
      </c>
    </row>
    <row r="15" spans="1:6" x14ac:dyDescent="0.25">
      <c r="A15" t="s">
        <v>92</v>
      </c>
      <c r="B15">
        <v>25</v>
      </c>
      <c r="C15">
        <v>116</v>
      </c>
      <c r="D15">
        <v>4</v>
      </c>
      <c r="E15" t="s">
        <v>85</v>
      </c>
      <c r="F15" t="s">
        <v>6</v>
      </c>
    </row>
    <row r="16" spans="1:6" x14ac:dyDescent="0.25">
      <c r="A16" t="s">
        <v>92</v>
      </c>
      <c r="B16">
        <v>43</v>
      </c>
      <c r="C16">
        <v>112.361909</v>
      </c>
      <c r="D16">
        <v>12</v>
      </c>
      <c r="E16" t="s">
        <v>85</v>
      </c>
      <c r="F16" t="s">
        <v>4</v>
      </c>
    </row>
    <row r="17" spans="1:6" x14ac:dyDescent="0.25">
      <c r="A17" t="s">
        <v>92</v>
      </c>
      <c r="B17">
        <v>43</v>
      </c>
      <c r="C17">
        <v>112.361909</v>
      </c>
      <c r="D17">
        <v>12</v>
      </c>
      <c r="E17" t="s">
        <v>85</v>
      </c>
      <c r="F17" t="s">
        <v>3</v>
      </c>
    </row>
    <row r="18" spans="1:6" x14ac:dyDescent="0.25">
      <c r="A18" t="s">
        <v>92</v>
      </c>
      <c r="B18">
        <v>43</v>
      </c>
      <c r="C18">
        <v>112.361909</v>
      </c>
      <c r="D18">
        <v>4</v>
      </c>
      <c r="E18" t="s">
        <v>85</v>
      </c>
      <c r="F18" t="s">
        <v>6</v>
      </c>
    </row>
    <row r="19" spans="1:6" x14ac:dyDescent="0.25">
      <c r="A19" t="s">
        <v>92</v>
      </c>
      <c r="B19">
        <v>43</v>
      </c>
      <c r="C19">
        <v>112.361909</v>
      </c>
      <c r="D19">
        <v>12</v>
      </c>
      <c r="E19" t="s">
        <v>85</v>
      </c>
      <c r="F19" t="s">
        <v>5</v>
      </c>
    </row>
    <row r="20" spans="1:6" x14ac:dyDescent="0.25">
      <c r="A20" t="s">
        <v>92</v>
      </c>
      <c r="B20">
        <v>95</v>
      </c>
      <c r="C20">
        <v>117.77854000000001</v>
      </c>
      <c r="D20">
        <v>4</v>
      </c>
      <c r="E20" t="s">
        <v>85</v>
      </c>
      <c r="F20" t="s">
        <v>6</v>
      </c>
    </row>
    <row r="21" spans="1:6" x14ac:dyDescent="0.25">
      <c r="A21" t="s">
        <v>92</v>
      </c>
      <c r="B21">
        <v>26</v>
      </c>
      <c r="C21">
        <v>121.56870000000001</v>
      </c>
      <c r="D21">
        <v>12</v>
      </c>
      <c r="E21" t="s">
        <v>85</v>
      </c>
      <c r="F21" t="s">
        <v>4</v>
      </c>
    </row>
    <row r="22" spans="1:6" x14ac:dyDescent="0.25">
      <c r="A22" t="s">
        <v>92</v>
      </c>
      <c r="B22">
        <v>26</v>
      </c>
      <c r="C22">
        <v>121.56870000000001</v>
      </c>
      <c r="D22">
        <v>12</v>
      </c>
      <c r="E22" t="s">
        <v>85</v>
      </c>
      <c r="F22" t="s">
        <v>3</v>
      </c>
    </row>
    <row r="23" spans="1:6" x14ac:dyDescent="0.25">
      <c r="A23" t="s">
        <v>92</v>
      </c>
      <c r="B23">
        <v>26</v>
      </c>
      <c r="C23">
        <v>121.56870000000001</v>
      </c>
      <c r="D23">
        <v>4</v>
      </c>
      <c r="E23" t="s">
        <v>85</v>
      </c>
      <c r="F23" t="s">
        <v>6</v>
      </c>
    </row>
    <row r="24" spans="1:6" x14ac:dyDescent="0.25">
      <c r="A24" t="s">
        <v>92</v>
      </c>
      <c r="B24">
        <v>26</v>
      </c>
      <c r="C24">
        <v>121.56870000000001</v>
      </c>
      <c r="D24">
        <v>12</v>
      </c>
      <c r="E24" t="s">
        <v>85</v>
      </c>
      <c r="F24" t="s">
        <v>5</v>
      </c>
    </row>
    <row r="25" spans="1:6" x14ac:dyDescent="0.25">
      <c r="A25" t="s">
        <v>92</v>
      </c>
      <c r="B25">
        <v>24</v>
      </c>
      <c r="C25">
        <v>122.5087</v>
      </c>
      <c r="D25">
        <v>12</v>
      </c>
      <c r="E25" t="s">
        <v>85</v>
      </c>
      <c r="F25" t="s">
        <v>4</v>
      </c>
    </row>
    <row r="26" spans="1:6" x14ac:dyDescent="0.25">
      <c r="A26" t="s">
        <v>92</v>
      </c>
      <c r="B26">
        <v>24</v>
      </c>
      <c r="C26">
        <v>122.5087</v>
      </c>
      <c r="D26">
        <v>12</v>
      </c>
      <c r="E26" t="s">
        <v>85</v>
      </c>
      <c r="F26" t="s">
        <v>3</v>
      </c>
    </row>
    <row r="27" spans="1:6" x14ac:dyDescent="0.25">
      <c r="A27" t="s">
        <v>92</v>
      </c>
      <c r="B27">
        <v>24</v>
      </c>
      <c r="C27">
        <v>122.5087</v>
      </c>
      <c r="D27">
        <v>4</v>
      </c>
      <c r="E27" t="s">
        <v>85</v>
      </c>
      <c r="F27" t="s">
        <v>6</v>
      </c>
    </row>
    <row r="28" spans="1:6" x14ac:dyDescent="0.25">
      <c r="A28" t="s">
        <v>92</v>
      </c>
      <c r="B28">
        <v>24</v>
      </c>
      <c r="C28">
        <v>122.5087</v>
      </c>
      <c r="D28">
        <v>12</v>
      </c>
      <c r="E28" t="s">
        <v>85</v>
      </c>
      <c r="F28" t="s">
        <v>5</v>
      </c>
    </row>
    <row r="29" spans="1:6" x14ac:dyDescent="0.25">
      <c r="A29" t="s">
        <v>92</v>
      </c>
      <c r="B29">
        <v>29</v>
      </c>
      <c r="C29">
        <v>126.5887</v>
      </c>
      <c r="D29">
        <v>12</v>
      </c>
      <c r="E29" t="s">
        <v>85</v>
      </c>
      <c r="F29" t="s">
        <v>4</v>
      </c>
    </row>
    <row r="30" spans="1:6" x14ac:dyDescent="0.25">
      <c r="A30" t="s">
        <v>92</v>
      </c>
      <c r="B30">
        <v>29</v>
      </c>
      <c r="C30">
        <v>126.5887</v>
      </c>
      <c r="D30">
        <v>12</v>
      </c>
      <c r="E30" t="s">
        <v>85</v>
      </c>
      <c r="F30" t="s">
        <v>3</v>
      </c>
    </row>
    <row r="31" spans="1:6" x14ac:dyDescent="0.25">
      <c r="A31" t="s">
        <v>92</v>
      </c>
      <c r="B31">
        <v>29</v>
      </c>
      <c r="C31">
        <v>126.5887</v>
      </c>
      <c r="D31">
        <v>4</v>
      </c>
      <c r="E31" t="s">
        <v>85</v>
      </c>
      <c r="F31" t="s">
        <v>6</v>
      </c>
    </row>
    <row r="32" spans="1:6" x14ac:dyDescent="0.25">
      <c r="A32" t="s">
        <v>92</v>
      </c>
      <c r="B32">
        <v>29</v>
      </c>
      <c r="C32">
        <v>126.5887</v>
      </c>
      <c r="D32">
        <v>12</v>
      </c>
      <c r="E32" t="s">
        <v>85</v>
      </c>
      <c r="F32" t="s">
        <v>5</v>
      </c>
    </row>
    <row r="33" spans="1:6" x14ac:dyDescent="0.25">
      <c r="A33" t="s">
        <v>92</v>
      </c>
      <c r="B33">
        <v>36</v>
      </c>
      <c r="C33">
        <v>131.68899999999999</v>
      </c>
      <c r="D33">
        <v>11.8</v>
      </c>
      <c r="E33" t="s">
        <v>85</v>
      </c>
      <c r="F33" t="s">
        <v>4</v>
      </c>
    </row>
    <row r="34" spans="1:6" x14ac:dyDescent="0.25">
      <c r="A34" t="s">
        <v>92</v>
      </c>
      <c r="B34">
        <v>36</v>
      </c>
      <c r="C34">
        <v>131.68899999999999</v>
      </c>
      <c r="D34">
        <v>11.8</v>
      </c>
      <c r="E34" t="s">
        <v>85</v>
      </c>
      <c r="F34" t="s">
        <v>3</v>
      </c>
    </row>
    <row r="35" spans="1:6" x14ac:dyDescent="0.25">
      <c r="A35" t="s">
        <v>92</v>
      </c>
      <c r="B35">
        <v>36</v>
      </c>
      <c r="C35">
        <v>131.68899999999999</v>
      </c>
      <c r="D35">
        <v>3.9</v>
      </c>
      <c r="E35" t="s">
        <v>85</v>
      </c>
      <c r="F35" t="s">
        <v>6</v>
      </c>
    </row>
    <row r="36" spans="1:6" x14ac:dyDescent="0.25">
      <c r="A36" t="s">
        <v>92</v>
      </c>
      <c r="B36">
        <v>36</v>
      </c>
      <c r="C36">
        <v>131.68899999999999</v>
      </c>
      <c r="D36">
        <v>11.8</v>
      </c>
      <c r="E36" t="s">
        <v>85</v>
      </c>
      <c r="F36" t="s">
        <v>5</v>
      </c>
    </row>
    <row r="37" spans="1:6" x14ac:dyDescent="0.25">
      <c r="A37" t="s">
        <v>92</v>
      </c>
      <c r="B37">
        <v>74</v>
      </c>
      <c r="C37">
        <v>132.18899999999999</v>
      </c>
      <c r="D37">
        <v>3.9</v>
      </c>
      <c r="E37" t="s">
        <v>85</v>
      </c>
      <c r="F37" t="s">
        <v>3</v>
      </c>
    </row>
    <row r="38" spans="1:6" x14ac:dyDescent="0.25">
      <c r="A38" t="s">
        <v>92</v>
      </c>
      <c r="B38">
        <v>80</v>
      </c>
      <c r="C38">
        <v>133.58869999999999</v>
      </c>
      <c r="D38">
        <v>12</v>
      </c>
      <c r="E38" t="s">
        <v>85</v>
      </c>
      <c r="F38" t="s">
        <v>3</v>
      </c>
    </row>
    <row r="39" spans="1:6" x14ac:dyDescent="0.25">
      <c r="A39" t="s">
        <v>92</v>
      </c>
      <c r="B39">
        <v>74</v>
      </c>
      <c r="C39">
        <v>145.465701</v>
      </c>
      <c r="D39">
        <v>12</v>
      </c>
      <c r="E39" t="s">
        <v>85</v>
      </c>
      <c r="F39" t="s">
        <v>4</v>
      </c>
    </row>
    <row r="40" spans="1:6" x14ac:dyDescent="0.25">
      <c r="A40" t="s">
        <v>92</v>
      </c>
      <c r="B40">
        <v>74</v>
      </c>
      <c r="C40">
        <v>145.465701</v>
      </c>
      <c r="D40">
        <v>12</v>
      </c>
      <c r="E40" t="s">
        <v>85</v>
      </c>
      <c r="F40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97"/>
  <sheetViews>
    <sheetView workbookViewId="0">
      <selection activeCell="K12" sqref="K12"/>
    </sheetView>
  </sheetViews>
  <sheetFormatPr defaultRowHeight="15" x14ac:dyDescent="0.25"/>
  <cols>
    <col min="1" max="1" width="9.140625" bestFit="1" customWidth="1"/>
    <col min="2" max="2" width="7.5703125" bestFit="1" customWidth="1"/>
    <col min="3" max="3" width="6" bestFit="1" customWidth="1"/>
    <col min="4" max="4" width="4.42578125" bestFit="1" customWidth="1"/>
    <col min="5" max="5" width="6.85546875" bestFit="1" customWidth="1"/>
  </cols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Prices!B2-8.5</f>
        <v>-8.5</v>
      </c>
      <c r="D2">
        <v>0</v>
      </c>
      <c r="E2" t="s">
        <v>85</v>
      </c>
      <c r="F2">
        <f t="shared" ref="F2:F33" si="0">C2*D2/4</f>
        <v>0</v>
      </c>
    </row>
    <row r="3" spans="1:6" x14ac:dyDescent="0.25">
      <c r="A3" t="s">
        <v>84</v>
      </c>
      <c r="B3">
        <v>2</v>
      </c>
      <c r="C3">
        <f>Prices!B3-8.5</f>
        <v>-8.5</v>
      </c>
      <c r="D3">
        <v>0</v>
      </c>
      <c r="E3" t="s">
        <v>85</v>
      </c>
      <c r="F3">
        <f t="shared" si="0"/>
        <v>0</v>
      </c>
    </row>
    <row r="4" spans="1:6" x14ac:dyDescent="0.25">
      <c r="A4" t="s">
        <v>84</v>
      </c>
      <c r="B4">
        <v>3</v>
      </c>
      <c r="C4">
        <f>Prices!B4-8.5</f>
        <v>-8.5</v>
      </c>
      <c r="D4">
        <v>0</v>
      </c>
      <c r="E4" t="s">
        <v>85</v>
      </c>
      <c r="F4">
        <f t="shared" si="0"/>
        <v>0</v>
      </c>
    </row>
    <row r="5" spans="1:6" x14ac:dyDescent="0.25">
      <c r="A5" t="s">
        <v>84</v>
      </c>
      <c r="B5">
        <v>4</v>
      </c>
      <c r="C5">
        <f>Prices!B5-8.5</f>
        <v>-8.5</v>
      </c>
      <c r="D5">
        <v>0</v>
      </c>
      <c r="E5" t="s">
        <v>85</v>
      </c>
      <c r="F5">
        <f t="shared" si="0"/>
        <v>0</v>
      </c>
    </row>
    <row r="6" spans="1:6" x14ac:dyDescent="0.25">
      <c r="A6" t="s">
        <v>84</v>
      </c>
      <c r="B6">
        <v>5</v>
      </c>
      <c r="C6">
        <f>Prices!B6-8.5</f>
        <v>-8.5</v>
      </c>
      <c r="D6">
        <v>0</v>
      </c>
      <c r="E6" t="s">
        <v>85</v>
      </c>
      <c r="F6">
        <f t="shared" si="0"/>
        <v>0</v>
      </c>
    </row>
    <row r="7" spans="1:6" x14ac:dyDescent="0.25">
      <c r="A7" t="s">
        <v>84</v>
      </c>
      <c r="B7">
        <v>6</v>
      </c>
      <c r="C7">
        <f>Prices!B7-8.5</f>
        <v>-8.5</v>
      </c>
      <c r="D7">
        <v>0</v>
      </c>
      <c r="E7" t="s">
        <v>85</v>
      </c>
      <c r="F7">
        <f t="shared" si="0"/>
        <v>0</v>
      </c>
    </row>
    <row r="8" spans="1:6" x14ac:dyDescent="0.25">
      <c r="A8" t="s">
        <v>84</v>
      </c>
      <c r="B8">
        <v>7</v>
      </c>
      <c r="C8">
        <f>Prices!B8-8.5</f>
        <v>-8.5</v>
      </c>
      <c r="D8">
        <v>0</v>
      </c>
      <c r="E8" t="s">
        <v>85</v>
      </c>
      <c r="F8">
        <f t="shared" si="0"/>
        <v>0</v>
      </c>
    </row>
    <row r="9" spans="1:6" x14ac:dyDescent="0.25">
      <c r="A9" t="s">
        <v>84</v>
      </c>
      <c r="B9">
        <v>8</v>
      </c>
      <c r="C9">
        <f>Prices!B9-8.5</f>
        <v>-8.5</v>
      </c>
      <c r="D9">
        <v>0</v>
      </c>
      <c r="E9" t="s">
        <v>85</v>
      </c>
      <c r="F9">
        <f t="shared" si="0"/>
        <v>0</v>
      </c>
    </row>
    <row r="10" spans="1:6" x14ac:dyDescent="0.25">
      <c r="A10" t="s">
        <v>84</v>
      </c>
      <c r="B10">
        <v>9</v>
      </c>
      <c r="C10">
        <f>Prices!B10-8.5</f>
        <v>-8.5</v>
      </c>
      <c r="D10">
        <v>0</v>
      </c>
      <c r="E10" t="s">
        <v>85</v>
      </c>
      <c r="F10">
        <f t="shared" si="0"/>
        <v>0</v>
      </c>
    </row>
    <row r="11" spans="1:6" x14ac:dyDescent="0.25">
      <c r="A11" t="s">
        <v>84</v>
      </c>
      <c r="B11">
        <v>10</v>
      </c>
      <c r="C11">
        <f>Prices!B11-8.5</f>
        <v>-8.5</v>
      </c>
      <c r="D11">
        <v>0</v>
      </c>
      <c r="E11" t="s">
        <v>85</v>
      </c>
      <c r="F11">
        <f t="shared" si="0"/>
        <v>0</v>
      </c>
    </row>
    <row r="12" spans="1:6" x14ac:dyDescent="0.25">
      <c r="A12" t="s">
        <v>84</v>
      </c>
      <c r="B12">
        <v>11</v>
      </c>
      <c r="C12">
        <f>Prices!B12-8.5</f>
        <v>-8.5</v>
      </c>
      <c r="D12">
        <v>0</v>
      </c>
      <c r="E12" t="s">
        <v>85</v>
      </c>
      <c r="F12">
        <f t="shared" si="0"/>
        <v>0</v>
      </c>
    </row>
    <row r="13" spans="1:6" x14ac:dyDescent="0.25">
      <c r="A13" t="s">
        <v>84</v>
      </c>
      <c r="B13">
        <v>12</v>
      </c>
      <c r="C13">
        <f>Prices!B13-8.5</f>
        <v>-8.5</v>
      </c>
      <c r="D13">
        <v>0</v>
      </c>
      <c r="E13" t="s">
        <v>85</v>
      </c>
      <c r="F13">
        <f t="shared" si="0"/>
        <v>0</v>
      </c>
    </row>
    <row r="14" spans="1:6" x14ac:dyDescent="0.25">
      <c r="A14" t="s">
        <v>84</v>
      </c>
      <c r="B14">
        <v>13</v>
      </c>
      <c r="C14">
        <f>Prices!B14-8.5</f>
        <v>-8.5</v>
      </c>
      <c r="D14">
        <v>0</v>
      </c>
      <c r="E14" t="s">
        <v>85</v>
      </c>
      <c r="F14">
        <f t="shared" si="0"/>
        <v>0</v>
      </c>
    </row>
    <row r="15" spans="1:6" x14ac:dyDescent="0.25">
      <c r="A15" t="s">
        <v>84</v>
      </c>
      <c r="B15">
        <v>14</v>
      </c>
      <c r="C15">
        <f>Prices!B15-8.5</f>
        <v>-8.5</v>
      </c>
      <c r="D15">
        <v>0</v>
      </c>
      <c r="E15" t="s">
        <v>85</v>
      </c>
      <c r="F15">
        <f t="shared" si="0"/>
        <v>0</v>
      </c>
    </row>
    <row r="16" spans="1:6" x14ac:dyDescent="0.25">
      <c r="A16" t="s">
        <v>84</v>
      </c>
      <c r="B16">
        <v>15</v>
      </c>
      <c r="C16">
        <f>Prices!B16-8.5</f>
        <v>-8.5</v>
      </c>
      <c r="D16">
        <v>0</v>
      </c>
      <c r="E16" t="s">
        <v>85</v>
      </c>
      <c r="F16">
        <f t="shared" si="0"/>
        <v>0</v>
      </c>
    </row>
    <row r="17" spans="1:6" x14ac:dyDescent="0.25">
      <c r="A17" t="s">
        <v>84</v>
      </c>
      <c r="B17">
        <v>16</v>
      </c>
      <c r="C17">
        <f>Prices!B17-8.5</f>
        <v>-8.5</v>
      </c>
      <c r="D17">
        <v>0</v>
      </c>
      <c r="E17" t="s">
        <v>85</v>
      </c>
      <c r="F17">
        <f t="shared" si="0"/>
        <v>0</v>
      </c>
    </row>
    <row r="18" spans="1:6" x14ac:dyDescent="0.25">
      <c r="A18" t="s">
        <v>84</v>
      </c>
      <c r="B18">
        <v>17</v>
      </c>
      <c r="C18">
        <f>Prices!B18-8.5</f>
        <v>-8.5</v>
      </c>
      <c r="D18">
        <v>0</v>
      </c>
      <c r="E18" t="s">
        <v>85</v>
      </c>
      <c r="F18">
        <f t="shared" si="0"/>
        <v>0</v>
      </c>
    </row>
    <row r="19" spans="1:6" x14ac:dyDescent="0.25">
      <c r="A19" t="s">
        <v>84</v>
      </c>
      <c r="B19">
        <v>18</v>
      </c>
      <c r="C19">
        <f>Prices!B19-8.5</f>
        <v>-8.5</v>
      </c>
      <c r="D19">
        <v>0</v>
      </c>
      <c r="E19" t="s">
        <v>85</v>
      </c>
      <c r="F19">
        <f t="shared" si="0"/>
        <v>0</v>
      </c>
    </row>
    <row r="20" spans="1:6" x14ac:dyDescent="0.25">
      <c r="A20" t="s">
        <v>84</v>
      </c>
      <c r="B20">
        <v>19</v>
      </c>
      <c r="C20">
        <f>Prices!B20-8.5</f>
        <v>-8.5</v>
      </c>
      <c r="D20">
        <v>0</v>
      </c>
      <c r="E20" t="s">
        <v>85</v>
      </c>
      <c r="F20">
        <f t="shared" si="0"/>
        <v>0</v>
      </c>
    </row>
    <row r="21" spans="1:6" x14ac:dyDescent="0.25">
      <c r="A21" t="s">
        <v>84</v>
      </c>
      <c r="B21">
        <v>20</v>
      </c>
      <c r="C21">
        <f>Prices!B21-8.5</f>
        <v>-8.5</v>
      </c>
      <c r="D21">
        <v>0</v>
      </c>
      <c r="E21" t="s">
        <v>85</v>
      </c>
      <c r="F21">
        <f t="shared" si="0"/>
        <v>0</v>
      </c>
    </row>
    <row r="22" spans="1:6" x14ac:dyDescent="0.25">
      <c r="A22" t="s">
        <v>84</v>
      </c>
      <c r="B22">
        <v>21</v>
      </c>
      <c r="C22">
        <f>Prices!B22-8.5</f>
        <v>-8.5</v>
      </c>
      <c r="D22">
        <v>0</v>
      </c>
      <c r="E22" t="s">
        <v>85</v>
      </c>
      <c r="F22">
        <f t="shared" si="0"/>
        <v>0</v>
      </c>
    </row>
    <row r="23" spans="1:6" x14ac:dyDescent="0.25">
      <c r="A23" t="s">
        <v>84</v>
      </c>
      <c r="B23">
        <v>22</v>
      </c>
      <c r="C23">
        <f>Prices!B23-8.5</f>
        <v>-8.5</v>
      </c>
      <c r="D23">
        <v>0</v>
      </c>
      <c r="E23" t="s">
        <v>85</v>
      </c>
      <c r="F23">
        <f t="shared" si="0"/>
        <v>0</v>
      </c>
    </row>
    <row r="24" spans="1:6" x14ac:dyDescent="0.25">
      <c r="A24" t="s">
        <v>84</v>
      </c>
      <c r="B24">
        <v>23</v>
      </c>
      <c r="C24">
        <f>Prices!B24-8.5</f>
        <v>-8.5</v>
      </c>
      <c r="D24">
        <v>0</v>
      </c>
      <c r="E24" t="s">
        <v>85</v>
      </c>
      <c r="F24">
        <f t="shared" si="0"/>
        <v>0</v>
      </c>
    </row>
    <row r="25" spans="1:6" x14ac:dyDescent="0.25">
      <c r="A25" t="s">
        <v>84</v>
      </c>
      <c r="B25">
        <v>24</v>
      </c>
      <c r="C25">
        <f>Prices!B25-8.5</f>
        <v>-8.5</v>
      </c>
      <c r="D25">
        <v>0</v>
      </c>
      <c r="E25" t="s">
        <v>85</v>
      </c>
      <c r="F25">
        <f t="shared" si="0"/>
        <v>0</v>
      </c>
    </row>
    <row r="26" spans="1:6" x14ac:dyDescent="0.25">
      <c r="A26" t="s">
        <v>84</v>
      </c>
      <c r="B26">
        <v>25</v>
      </c>
      <c r="C26">
        <f>Prices!B26-8.5</f>
        <v>-8.5</v>
      </c>
      <c r="D26">
        <v>0</v>
      </c>
      <c r="E26" t="s">
        <v>85</v>
      </c>
      <c r="F26">
        <f t="shared" si="0"/>
        <v>0</v>
      </c>
    </row>
    <row r="27" spans="1:6" x14ac:dyDescent="0.25">
      <c r="A27" t="s">
        <v>84</v>
      </c>
      <c r="B27">
        <v>26</v>
      </c>
      <c r="C27">
        <f>Prices!B27-8.5</f>
        <v>-8.5</v>
      </c>
      <c r="D27">
        <v>0</v>
      </c>
      <c r="E27" t="s">
        <v>85</v>
      </c>
      <c r="F27">
        <f t="shared" si="0"/>
        <v>0</v>
      </c>
    </row>
    <row r="28" spans="1:6" x14ac:dyDescent="0.25">
      <c r="A28" t="s">
        <v>84</v>
      </c>
      <c r="B28">
        <v>27</v>
      </c>
      <c r="C28">
        <f>Prices!B28-8.5</f>
        <v>-8.5</v>
      </c>
      <c r="D28">
        <v>0</v>
      </c>
      <c r="E28" t="s">
        <v>85</v>
      </c>
      <c r="F28">
        <f t="shared" si="0"/>
        <v>0</v>
      </c>
    </row>
    <row r="29" spans="1:6" x14ac:dyDescent="0.25">
      <c r="A29" t="s">
        <v>84</v>
      </c>
      <c r="B29">
        <v>28</v>
      </c>
      <c r="C29">
        <f>Prices!B29-8.5</f>
        <v>-8.5</v>
      </c>
      <c r="D29">
        <v>0</v>
      </c>
      <c r="E29" t="s">
        <v>85</v>
      </c>
      <c r="F29">
        <f t="shared" si="0"/>
        <v>0</v>
      </c>
    </row>
    <row r="30" spans="1:6" x14ac:dyDescent="0.25">
      <c r="A30" t="s">
        <v>84</v>
      </c>
      <c r="B30">
        <v>29</v>
      </c>
      <c r="C30">
        <f>Prices!B30-8.5</f>
        <v>-8.5</v>
      </c>
      <c r="D30">
        <v>0</v>
      </c>
      <c r="E30" t="s">
        <v>85</v>
      </c>
      <c r="F30">
        <f t="shared" si="0"/>
        <v>0</v>
      </c>
    </row>
    <row r="31" spans="1:6" x14ac:dyDescent="0.25">
      <c r="A31" t="s">
        <v>84</v>
      </c>
      <c r="B31">
        <v>30</v>
      </c>
      <c r="C31">
        <f>Prices!B31-8.5</f>
        <v>-8.5</v>
      </c>
      <c r="D31">
        <v>0</v>
      </c>
      <c r="E31" t="s">
        <v>85</v>
      </c>
      <c r="F31">
        <f t="shared" si="0"/>
        <v>0</v>
      </c>
    </row>
    <row r="32" spans="1:6" x14ac:dyDescent="0.25">
      <c r="A32" t="s">
        <v>84</v>
      </c>
      <c r="B32">
        <v>31</v>
      </c>
      <c r="C32">
        <f>Prices!B32-8.5</f>
        <v>-8.5</v>
      </c>
      <c r="D32">
        <v>0</v>
      </c>
      <c r="E32" t="s">
        <v>85</v>
      </c>
      <c r="F32">
        <f t="shared" si="0"/>
        <v>0</v>
      </c>
    </row>
    <row r="33" spans="1:6" x14ac:dyDescent="0.25">
      <c r="A33" t="s">
        <v>84</v>
      </c>
      <c r="B33">
        <v>32</v>
      </c>
      <c r="C33">
        <f>Prices!B33-8.5</f>
        <v>-8.5</v>
      </c>
      <c r="D33">
        <v>0</v>
      </c>
      <c r="E33" t="s">
        <v>85</v>
      </c>
      <c r="F33">
        <f t="shared" si="0"/>
        <v>0</v>
      </c>
    </row>
    <row r="34" spans="1:6" x14ac:dyDescent="0.25">
      <c r="A34" t="s">
        <v>84</v>
      </c>
      <c r="B34">
        <v>33</v>
      </c>
      <c r="C34">
        <f>Prices!B34-8.5</f>
        <v>-8.5</v>
      </c>
      <c r="D34">
        <v>0</v>
      </c>
      <c r="E34" t="s">
        <v>85</v>
      </c>
      <c r="F34">
        <f t="shared" ref="F34:F65" si="1">C34*D34/4</f>
        <v>0</v>
      </c>
    </row>
    <row r="35" spans="1:6" x14ac:dyDescent="0.25">
      <c r="A35" t="s">
        <v>84</v>
      </c>
      <c r="B35">
        <v>34</v>
      </c>
      <c r="C35">
        <f>Prices!B35-8.5</f>
        <v>-8.5</v>
      </c>
      <c r="D35">
        <v>0</v>
      </c>
      <c r="E35" t="s">
        <v>85</v>
      </c>
      <c r="F35">
        <f t="shared" si="1"/>
        <v>0</v>
      </c>
    </row>
    <row r="36" spans="1:6" x14ac:dyDescent="0.25">
      <c r="A36" t="s">
        <v>84</v>
      </c>
      <c r="B36">
        <v>35</v>
      </c>
      <c r="C36">
        <f>Prices!B36-8.5</f>
        <v>-8.5</v>
      </c>
      <c r="D36">
        <v>0</v>
      </c>
      <c r="E36" t="s">
        <v>85</v>
      </c>
      <c r="F36">
        <f t="shared" si="1"/>
        <v>0</v>
      </c>
    </row>
    <row r="37" spans="1:6" x14ac:dyDescent="0.25">
      <c r="A37" t="s">
        <v>84</v>
      </c>
      <c r="B37">
        <v>36</v>
      </c>
      <c r="C37">
        <f>Prices!B37-8.5</f>
        <v>-8.5</v>
      </c>
      <c r="D37">
        <v>0</v>
      </c>
      <c r="E37" t="s">
        <v>85</v>
      </c>
      <c r="F37">
        <f t="shared" si="1"/>
        <v>0</v>
      </c>
    </row>
    <row r="38" spans="1:6" x14ac:dyDescent="0.25">
      <c r="A38" t="s">
        <v>84</v>
      </c>
      <c r="B38">
        <v>37</v>
      </c>
      <c r="C38">
        <f>Prices!B38-8.5</f>
        <v>-8.5</v>
      </c>
      <c r="D38">
        <v>0</v>
      </c>
      <c r="E38" t="s">
        <v>85</v>
      </c>
      <c r="F38">
        <f t="shared" si="1"/>
        <v>0</v>
      </c>
    </row>
    <row r="39" spans="1:6" x14ac:dyDescent="0.25">
      <c r="A39" t="s">
        <v>84</v>
      </c>
      <c r="B39">
        <v>38</v>
      </c>
      <c r="C39">
        <f>Prices!B39-8.5</f>
        <v>-8.5</v>
      </c>
      <c r="D39">
        <v>0</v>
      </c>
      <c r="E39" t="s">
        <v>85</v>
      </c>
      <c r="F39">
        <f t="shared" si="1"/>
        <v>0</v>
      </c>
    </row>
    <row r="40" spans="1:6" x14ac:dyDescent="0.25">
      <c r="A40" t="s">
        <v>84</v>
      </c>
      <c r="B40">
        <v>39</v>
      </c>
      <c r="C40">
        <f>Prices!B40-8.5</f>
        <v>-8.5</v>
      </c>
      <c r="D40">
        <v>0</v>
      </c>
      <c r="E40" t="s">
        <v>85</v>
      </c>
      <c r="F40">
        <f t="shared" si="1"/>
        <v>0</v>
      </c>
    </row>
    <row r="41" spans="1:6" x14ac:dyDescent="0.25">
      <c r="A41" t="s">
        <v>84</v>
      </c>
      <c r="B41">
        <v>40</v>
      </c>
      <c r="C41">
        <f>Prices!B41-8.5</f>
        <v>-8.5</v>
      </c>
      <c r="D41">
        <v>0</v>
      </c>
      <c r="E41" t="s">
        <v>85</v>
      </c>
      <c r="F41">
        <f t="shared" si="1"/>
        <v>0</v>
      </c>
    </row>
    <row r="42" spans="1:6" x14ac:dyDescent="0.25">
      <c r="A42" t="s">
        <v>84</v>
      </c>
      <c r="B42">
        <v>41</v>
      </c>
      <c r="C42">
        <f>Prices!B42-8.5</f>
        <v>-8.5</v>
      </c>
      <c r="D42">
        <v>0</v>
      </c>
      <c r="E42" t="s">
        <v>85</v>
      </c>
      <c r="F42">
        <f t="shared" si="1"/>
        <v>0</v>
      </c>
    </row>
    <row r="43" spans="1:6" x14ac:dyDescent="0.25">
      <c r="A43" t="s">
        <v>84</v>
      </c>
      <c r="B43">
        <v>42</v>
      </c>
      <c r="C43">
        <f>Prices!B43-8.5</f>
        <v>-8.5</v>
      </c>
      <c r="D43">
        <v>0</v>
      </c>
      <c r="E43" t="s">
        <v>85</v>
      </c>
      <c r="F43">
        <f t="shared" si="1"/>
        <v>0</v>
      </c>
    </row>
    <row r="44" spans="1:6" x14ac:dyDescent="0.25">
      <c r="A44" t="s">
        <v>84</v>
      </c>
      <c r="B44">
        <v>43</v>
      </c>
      <c r="C44">
        <f>Prices!B44-8.5</f>
        <v>-8.5</v>
      </c>
      <c r="D44">
        <v>0</v>
      </c>
      <c r="E44" t="s">
        <v>85</v>
      </c>
      <c r="F44">
        <f t="shared" si="1"/>
        <v>0</v>
      </c>
    </row>
    <row r="45" spans="1:6" x14ac:dyDescent="0.25">
      <c r="A45" t="s">
        <v>84</v>
      </c>
      <c r="B45">
        <v>44</v>
      </c>
      <c r="C45">
        <f>Prices!B45-8.5</f>
        <v>-8.5</v>
      </c>
      <c r="D45">
        <v>0</v>
      </c>
      <c r="E45" t="s">
        <v>85</v>
      </c>
      <c r="F45">
        <f t="shared" si="1"/>
        <v>0</v>
      </c>
    </row>
    <row r="46" spans="1:6" x14ac:dyDescent="0.25">
      <c r="A46" t="s">
        <v>84</v>
      </c>
      <c r="B46">
        <v>45</v>
      </c>
      <c r="C46">
        <f>Prices!B46-8.5</f>
        <v>-8.5</v>
      </c>
      <c r="D46">
        <v>0</v>
      </c>
      <c r="E46" t="s">
        <v>85</v>
      </c>
      <c r="F46">
        <f t="shared" si="1"/>
        <v>0</v>
      </c>
    </row>
    <row r="47" spans="1:6" x14ac:dyDescent="0.25">
      <c r="A47" t="s">
        <v>84</v>
      </c>
      <c r="B47">
        <v>46</v>
      </c>
      <c r="C47">
        <f>Prices!B47-8.5</f>
        <v>-8.5</v>
      </c>
      <c r="D47">
        <v>0</v>
      </c>
      <c r="E47" t="s">
        <v>85</v>
      </c>
      <c r="F47">
        <f t="shared" si="1"/>
        <v>0</v>
      </c>
    </row>
    <row r="48" spans="1:6" x14ac:dyDescent="0.25">
      <c r="A48" t="s">
        <v>84</v>
      </c>
      <c r="B48">
        <v>47</v>
      </c>
      <c r="C48">
        <f>Prices!B48-8.5</f>
        <v>-8.5</v>
      </c>
      <c r="D48">
        <v>0</v>
      </c>
      <c r="E48" t="s">
        <v>85</v>
      </c>
      <c r="F48">
        <f t="shared" si="1"/>
        <v>0</v>
      </c>
    </row>
    <row r="49" spans="1:6" x14ac:dyDescent="0.25">
      <c r="A49" t="s">
        <v>84</v>
      </c>
      <c r="B49">
        <v>48</v>
      </c>
      <c r="C49">
        <f>Prices!B49-8.5</f>
        <v>-8.5</v>
      </c>
      <c r="D49">
        <v>0</v>
      </c>
      <c r="E49" t="s">
        <v>85</v>
      </c>
      <c r="F49">
        <f t="shared" si="1"/>
        <v>0</v>
      </c>
    </row>
    <row r="50" spans="1:6" x14ac:dyDescent="0.25">
      <c r="A50" t="s">
        <v>84</v>
      </c>
      <c r="B50">
        <v>49</v>
      </c>
      <c r="C50">
        <f>Prices!B50-8.5</f>
        <v>-8.5</v>
      </c>
      <c r="D50">
        <v>0</v>
      </c>
      <c r="E50" t="s">
        <v>85</v>
      </c>
      <c r="F50">
        <f t="shared" si="1"/>
        <v>0</v>
      </c>
    </row>
    <row r="51" spans="1:6" x14ac:dyDescent="0.25">
      <c r="A51" t="s">
        <v>84</v>
      </c>
      <c r="B51">
        <v>50</v>
      </c>
      <c r="C51">
        <f>Prices!B51-8.5</f>
        <v>-8.5</v>
      </c>
      <c r="D51">
        <v>0</v>
      </c>
      <c r="E51" t="s">
        <v>85</v>
      </c>
      <c r="F51">
        <f t="shared" si="1"/>
        <v>0</v>
      </c>
    </row>
    <row r="52" spans="1:6" x14ac:dyDescent="0.25">
      <c r="A52" t="s">
        <v>84</v>
      </c>
      <c r="B52">
        <v>51</v>
      </c>
      <c r="C52">
        <f>Prices!B52-8.5</f>
        <v>-8.5</v>
      </c>
      <c r="D52">
        <v>0</v>
      </c>
      <c r="E52" t="s">
        <v>85</v>
      </c>
      <c r="F52">
        <f t="shared" si="1"/>
        <v>0</v>
      </c>
    </row>
    <row r="53" spans="1:6" x14ac:dyDescent="0.25">
      <c r="A53" t="s">
        <v>84</v>
      </c>
      <c r="B53">
        <v>52</v>
      </c>
      <c r="C53">
        <f>Prices!B53-8.5</f>
        <v>-8.5</v>
      </c>
      <c r="D53">
        <v>0</v>
      </c>
      <c r="E53" t="s">
        <v>85</v>
      </c>
      <c r="F53">
        <f t="shared" si="1"/>
        <v>0</v>
      </c>
    </row>
    <row r="54" spans="1:6" x14ac:dyDescent="0.25">
      <c r="A54" t="s">
        <v>84</v>
      </c>
      <c r="B54">
        <v>53</v>
      </c>
      <c r="C54">
        <f>Prices!B54-8.5</f>
        <v>-8.5</v>
      </c>
      <c r="D54">
        <v>0</v>
      </c>
      <c r="E54" t="s">
        <v>85</v>
      </c>
      <c r="F54">
        <f t="shared" si="1"/>
        <v>0</v>
      </c>
    </row>
    <row r="55" spans="1:6" x14ac:dyDescent="0.25">
      <c r="A55" t="s">
        <v>84</v>
      </c>
      <c r="B55">
        <v>54</v>
      </c>
      <c r="C55">
        <f>Prices!B55-8.5</f>
        <v>-8.5</v>
      </c>
      <c r="D55">
        <v>0</v>
      </c>
      <c r="E55" t="s">
        <v>85</v>
      </c>
      <c r="F55">
        <f t="shared" si="1"/>
        <v>0</v>
      </c>
    </row>
    <row r="56" spans="1:6" x14ac:dyDescent="0.25">
      <c r="A56" t="s">
        <v>84</v>
      </c>
      <c r="B56">
        <v>55</v>
      </c>
      <c r="C56">
        <f>Prices!B56-8.5</f>
        <v>-8.5</v>
      </c>
      <c r="D56">
        <v>0</v>
      </c>
      <c r="E56" t="s">
        <v>85</v>
      </c>
      <c r="F56">
        <f t="shared" si="1"/>
        <v>0</v>
      </c>
    </row>
    <row r="57" spans="1:6" x14ac:dyDescent="0.25">
      <c r="A57" t="s">
        <v>84</v>
      </c>
      <c r="B57">
        <v>56</v>
      </c>
      <c r="C57">
        <f>Prices!B57-8.5</f>
        <v>-8.5</v>
      </c>
      <c r="D57">
        <v>0</v>
      </c>
      <c r="E57" t="s">
        <v>85</v>
      </c>
      <c r="F57">
        <f t="shared" si="1"/>
        <v>0</v>
      </c>
    </row>
    <row r="58" spans="1:6" x14ac:dyDescent="0.25">
      <c r="A58" t="s">
        <v>84</v>
      </c>
      <c r="B58">
        <v>57</v>
      </c>
      <c r="C58">
        <f>Prices!B58-8.5</f>
        <v>-8.5</v>
      </c>
      <c r="D58">
        <v>0</v>
      </c>
      <c r="E58" t="s">
        <v>85</v>
      </c>
      <c r="F58">
        <f t="shared" si="1"/>
        <v>0</v>
      </c>
    </row>
    <row r="59" spans="1:6" x14ac:dyDescent="0.25">
      <c r="A59" t="s">
        <v>84</v>
      </c>
      <c r="B59">
        <v>58</v>
      </c>
      <c r="C59">
        <f>Prices!B59-8.5</f>
        <v>-8.5</v>
      </c>
      <c r="D59">
        <v>0</v>
      </c>
      <c r="E59" t="s">
        <v>85</v>
      </c>
      <c r="F59">
        <f t="shared" si="1"/>
        <v>0</v>
      </c>
    </row>
    <row r="60" spans="1:6" x14ac:dyDescent="0.25">
      <c r="A60" t="s">
        <v>84</v>
      </c>
      <c r="B60">
        <v>59</v>
      </c>
      <c r="C60">
        <f>Prices!B60-8.5</f>
        <v>-8.5</v>
      </c>
      <c r="D60">
        <v>0</v>
      </c>
      <c r="E60" t="s">
        <v>85</v>
      </c>
      <c r="F60">
        <f t="shared" si="1"/>
        <v>0</v>
      </c>
    </row>
    <row r="61" spans="1:6" x14ac:dyDescent="0.25">
      <c r="A61" t="s">
        <v>84</v>
      </c>
      <c r="B61">
        <v>60</v>
      </c>
      <c r="C61">
        <f>Prices!B61-8.5</f>
        <v>-8.5</v>
      </c>
      <c r="D61">
        <v>0</v>
      </c>
      <c r="E61" t="s">
        <v>85</v>
      </c>
      <c r="F61">
        <f t="shared" si="1"/>
        <v>0</v>
      </c>
    </row>
    <row r="62" spans="1:6" x14ac:dyDescent="0.25">
      <c r="A62" t="s">
        <v>84</v>
      </c>
      <c r="B62">
        <v>61</v>
      </c>
      <c r="C62">
        <f>Prices!B62-8.5</f>
        <v>-8.5</v>
      </c>
      <c r="D62">
        <v>0</v>
      </c>
      <c r="E62" t="s">
        <v>85</v>
      </c>
      <c r="F62">
        <f t="shared" si="1"/>
        <v>0</v>
      </c>
    </row>
    <row r="63" spans="1:6" x14ac:dyDescent="0.25">
      <c r="A63" t="s">
        <v>84</v>
      </c>
      <c r="B63">
        <v>62</v>
      </c>
      <c r="C63">
        <f>Prices!B63-8.5</f>
        <v>-8.5</v>
      </c>
      <c r="D63">
        <v>0</v>
      </c>
      <c r="E63" t="s">
        <v>85</v>
      </c>
      <c r="F63">
        <f t="shared" si="1"/>
        <v>0</v>
      </c>
    </row>
    <row r="64" spans="1:6" x14ac:dyDescent="0.25">
      <c r="A64" t="s">
        <v>84</v>
      </c>
      <c r="B64">
        <v>63</v>
      </c>
      <c r="C64">
        <f>Prices!B64-8.5</f>
        <v>-8.5</v>
      </c>
      <c r="D64">
        <v>0</v>
      </c>
      <c r="E64" t="s">
        <v>85</v>
      </c>
      <c r="F64">
        <f t="shared" si="1"/>
        <v>0</v>
      </c>
    </row>
    <row r="65" spans="1:6" x14ac:dyDescent="0.25">
      <c r="A65" t="s">
        <v>84</v>
      </c>
      <c r="B65">
        <v>64</v>
      </c>
      <c r="C65">
        <f>Prices!B65-8.5</f>
        <v>-8.5</v>
      </c>
      <c r="D65">
        <v>0</v>
      </c>
      <c r="E65" t="s">
        <v>85</v>
      </c>
      <c r="F65">
        <f t="shared" si="1"/>
        <v>0</v>
      </c>
    </row>
    <row r="66" spans="1:6" x14ac:dyDescent="0.25">
      <c r="A66" t="s">
        <v>84</v>
      </c>
      <c r="B66">
        <v>65</v>
      </c>
      <c r="C66">
        <f>Prices!B66-8.5</f>
        <v>-8.5</v>
      </c>
      <c r="D66">
        <v>0</v>
      </c>
      <c r="E66" t="s">
        <v>85</v>
      </c>
      <c r="F66">
        <f t="shared" ref="F66:F97" si="2">C66*D66/4</f>
        <v>0</v>
      </c>
    </row>
    <row r="67" spans="1:6" x14ac:dyDescent="0.25">
      <c r="A67" t="s">
        <v>84</v>
      </c>
      <c r="B67">
        <v>66</v>
      </c>
      <c r="C67">
        <f>Prices!B67-8.5</f>
        <v>-8.5</v>
      </c>
      <c r="D67">
        <v>0</v>
      </c>
      <c r="E67" t="s">
        <v>85</v>
      </c>
      <c r="F67">
        <f t="shared" si="2"/>
        <v>0</v>
      </c>
    </row>
    <row r="68" spans="1:6" x14ac:dyDescent="0.25">
      <c r="A68" t="s">
        <v>84</v>
      </c>
      <c r="B68">
        <v>67</v>
      </c>
      <c r="C68">
        <f>Prices!B68-8.5</f>
        <v>-8.5</v>
      </c>
      <c r="D68">
        <v>0</v>
      </c>
      <c r="E68" t="s">
        <v>85</v>
      </c>
      <c r="F68">
        <f t="shared" si="2"/>
        <v>0</v>
      </c>
    </row>
    <row r="69" spans="1:6" x14ac:dyDescent="0.25">
      <c r="A69" t="s">
        <v>84</v>
      </c>
      <c r="B69">
        <v>68</v>
      </c>
      <c r="C69">
        <f>Prices!B69-8.5</f>
        <v>-8.5</v>
      </c>
      <c r="D69">
        <v>0</v>
      </c>
      <c r="E69" t="s">
        <v>85</v>
      </c>
      <c r="F69">
        <f t="shared" si="2"/>
        <v>0</v>
      </c>
    </row>
    <row r="70" spans="1:6" x14ac:dyDescent="0.25">
      <c r="A70" t="s">
        <v>84</v>
      </c>
      <c r="B70">
        <v>69</v>
      </c>
      <c r="C70">
        <f>Prices!B70-8.5</f>
        <v>-8.5</v>
      </c>
      <c r="D70">
        <v>0</v>
      </c>
      <c r="E70" t="s">
        <v>85</v>
      </c>
      <c r="F70">
        <f t="shared" si="2"/>
        <v>0</v>
      </c>
    </row>
    <row r="71" spans="1:6" x14ac:dyDescent="0.25">
      <c r="A71" t="s">
        <v>84</v>
      </c>
      <c r="B71">
        <v>70</v>
      </c>
      <c r="C71">
        <f>Prices!B71-8.5</f>
        <v>-8.5</v>
      </c>
      <c r="D71">
        <v>0</v>
      </c>
      <c r="E71" t="s">
        <v>85</v>
      </c>
      <c r="F71">
        <f t="shared" si="2"/>
        <v>0</v>
      </c>
    </row>
    <row r="72" spans="1:6" x14ac:dyDescent="0.25">
      <c r="A72" t="s">
        <v>84</v>
      </c>
      <c r="B72">
        <v>71</v>
      </c>
      <c r="C72">
        <f>Prices!B72-8.5</f>
        <v>-8.5</v>
      </c>
      <c r="D72">
        <v>0</v>
      </c>
      <c r="E72" t="s">
        <v>85</v>
      </c>
      <c r="F72">
        <f t="shared" si="2"/>
        <v>0</v>
      </c>
    </row>
    <row r="73" spans="1:6" x14ac:dyDescent="0.25">
      <c r="A73" t="s">
        <v>84</v>
      </c>
      <c r="B73">
        <v>72</v>
      </c>
      <c r="C73">
        <f>Prices!B73-8.5</f>
        <v>-8.5</v>
      </c>
      <c r="D73">
        <v>0</v>
      </c>
      <c r="E73" t="s">
        <v>85</v>
      </c>
      <c r="F73">
        <f t="shared" si="2"/>
        <v>0</v>
      </c>
    </row>
    <row r="74" spans="1:6" x14ac:dyDescent="0.25">
      <c r="A74" t="s">
        <v>84</v>
      </c>
      <c r="B74">
        <v>73</v>
      </c>
      <c r="C74">
        <f>Prices!B74-8.5</f>
        <v>-8.5</v>
      </c>
      <c r="D74">
        <v>0</v>
      </c>
      <c r="E74" t="s">
        <v>85</v>
      </c>
      <c r="F74">
        <f t="shared" si="2"/>
        <v>0</v>
      </c>
    </row>
    <row r="75" spans="1:6" x14ac:dyDescent="0.25">
      <c r="A75" t="s">
        <v>84</v>
      </c>
      <c r="B75">
        <v>74</v>
      </c>
      <c r="C75">
        <f>Prices!B75-8.5</f>
        <v>-8.5</v>
      </c>
      <c r="D75">
        <v>0</v>
      </c>
      <c r="E75" t="s">
        <v>85</v>
      </c>
      <c r="F75">
        <f t="shared" si="2"/>
        <v>0</v>
      </c>
    </row>
    <row r="76" spans="1:6" x14ac:dyDescent="0.25">
      <c r="A76" t="s">
        <v>84</v>
      </c>
      <c r="B76">
        <v>75</v>
      </c>
      <c r="C76">
        <f>Prices!B76-8.5</f>
        <v>-8.5</v>
      </c>
      <c r="D76">
        <v>0</v>
      </c>
      <c r="E76" t="s">
        <v>85</v>
      </c>
      <c r="F76">
        <f t="shared" si="2"/>
        <v>0</v>
      </c>
    </row>
    <row r="77" spans="1:6" x14ac:dyDescent="0.25">
      <c r="A77" t="s">
        <v>84</v>
      </c>
      <c r="B77">
        <v>76</v>
      </c>
      <c r="C77">
        <f>Prices!B77-8.5</f>
        <v>-8.5</v>
      </c>
      <c r="D77">
        <v>0</v>
      </c>
      <c r="E77" t="s">
        <v>85</v>
      </c>
      <c r="F77">
        <f t="shared" si="2"/>
        <v>0</v>
      </c>
    </row>
    <row r="78" spans="1:6" x14ac:dyDescent="0.25">
      <c r="A78" t="s">
        <v>84</v>
      </c>
      <c r="B78">
        <v>77</v>
      </c>
      <c r="C78">
        <f>Prices!B78-8.5</f>
        <v>-8.5</v>
      </c>
      <c r="D78">
        <v>0</v>
      </c>
      <c r="E78" t="s">
        <v>85</v>
      </c>
      <c r="F78">
        <f t="shared" si="2"/>
        <v>0</v>
      </c>
    </row>
    <row r="79" spans="1:6" x14ac:dyDescent="0.25">
      <c r="A79" t="s">
        <v>84</v>
      </c>
      <c r="B79">
        <v>78</v>
      </c>
      <c r="C79">
        <f>Prices!B79-8.5</f>
        <v>-8.5</v>
      </c>
      <c r="D79">
        <v>0</v>
      </c>
      <c r="E79" t="s">
        <v>85</v>
      </c>
      <c r="F79">
        <f t="shared" si="2"/>
        <v>0</v>
      </c>
    </row>
    <row r="80" spans="1:6" x14ac:dyDescent="0.25">
      <c r="A80" t="s">
        <v>84</v>
      </c>
      <c r="B80">
        <v>79</v>
      </c>
      <c r="C80">
        <f>Prices!B80-8.5</f>
        <v>-8.5</v>
      </c>
      <c r="D80">
        <v>0</v>
      </c>
      <c r="E80" t="s">
        <v>85</v>
      </c>
      <c r="F80">
        <f t="shared" si="2"/>
        <v>0</v>
      </c>
    </row>
    <row r="81" spans="1:6" x14ac:dyDescent="0.25">
      <c r="A81" t="s">
        <v>84</v>
      </c>
      <c r="B81">
        <v>80</v>
      </c>
      <c r="C81">
        <f>Prices!B81-8.5</f>
        <v>-8.5</v>
      </c>
      <c r="D81">
        <v>0</v>
      </c>
      <c r="E81" t="s">
        <v>85</v>
      </c>
      <c r="F81">
        <f t="shared" si="2"/>
        <v>0</v>
      </c>
    </row>
    <row r="82" spans="1:6" x14ac:dyDescent="0.25">
      <c r="A82" t="s">
        <v>84</v>
      </c>
      <c r="B82">
        <v>81</v>
      </c>
      <c r="C82">
        <f>Prices!B82-8.5</f>
        <v>-8.5</v>
      </c>
      <c r="D82">
        <v>0</v>
      </c>
      <c r="E82" t="s">
        <v>85</v>
      </c>
      <c r="F82">
        <f t="shared" si="2"/>
        <v>0</v>
      </c>
    </row>
    <row r="83" spans="1:6" x14ac:dyDescent="0.25">
      <c r="A83" t="s">
        <v>84</v>
      </c>
      <c r="B83">
        <v>82</v>
      </c>
      <c r="C83">
        <f>Prices!B83-8.5</f>
        <v>-8.5</v>
      </c>
      <c r="D83">
        <v>0</v>
      </c>
      <c r="E83" t="s">
        <v>85</v>
      </c>
      <c r="F83">
        <f t="shared" si="2"/>
        <v>0</v>
      </c>
    </row>
    <row r="84" spans="1:6" x14ac:dyDescent="0.25">
      <c r="A84" t="s">
        <v>84</v>
      </c>
      <c r="B84">
        <v>83</v>
      </c>
      <c r="C84">
        <f>Prices!B84-8.5</f>
        <v>-8.5</v>
      </c>
      <c r="D84">
        <v>0</v>
      </c>
      <c r="E84" t="s">
        <v>85</v>
      </c>
      <c r="F84">
        <f t="shared" si="2"/>
        <v>0</v>
      </c>
    </row>
    <row r="85" spans="1:6" x14ac:dyDescent="0.25">
      <c r="A85" t="s">
        <v>84</v>
      </c>
      <c r="B85">
        <v>84</v>
      </c>
      <c r="C85">
        <f>Prices!B85-8.5</f>
        <v>-8.5</v>
      </c>
      <c r="D85">
        <v>0</v>
      </c>
      <c r="E85" t="s">
        <v>85</v>
      </c>
      <c r="F85">
        <f t="shared" si="2"/>
        <v>0</v>
      </c>
    </row>
    <row r="86" spans="1:6" x14ac:dyDescent="0.25">
      <c r="A86" t="s">
        <v>84</v>
      </c>
      <c r="B86">
        <v>85</v>
      </c>
      <c r="C86">
        <f>Prices!B86-8.5</f>
        <v>-8.5</v>
      </c>
      <c r="D86">
        <v>0</v>
      </c>
      <c r="E86" t="s">
        <v>85</v>
      </c>
      <c r="F86">
        <f t="shared" si="2"/>
        <v>0</v>
      </c>
    </row>
    <row r="87" spans="1:6" x14ac:dyDescent="0.25">
      <c r="A87" t="s">
        <v>84</v>
      </c>
      <c r="B87">
        <v>86</v>
      </c>
      <c r="C87">
        <f>Prices!B87-8.5</f>
        <v>-8.5</v>
      </c>
      <c r="D87">
        <v>0</v>
      </c>
      <c r="E87" t="s">
        <v>85</v>
      </c>
      <c r="F87">
        <f t="shared" si="2"/>
        <v>0</v>
      </c>
    </row>
    <row r="88" spans="1:6" x14ac:dyDescent="0.25">
      <c r="A88" t="s">
        <v>84</v>
      </c>
      <c r="B88">
        <v>87</v>
      </c>
      <c r="C88">
        <f>Prices!B88-8.5</f>
        <v>-8.5</v>
      </c>
      <c r="D88">
        <v>0</v>
      </c>
      <c r="E88" t="s">
        <v>85</v>
      </c>
      <c r="F88">
        <f t="shared" si="2"/>
        <v>0</v>
      </c>
    </row>
    <row r="89" spans="1:6" x14ac:dyDescent="0.25">
      <c r="A89" t="s">
        <v>84</v>
      </c>
      <c r="B89">
        <v>88</v>
      </c>
      <c r="C89">
        <f>Prices!B89-8.5</f>
        <v>-8.5</v>
      </c>
      <c r="D89">
        <v>0</v>
      </c>
      <c r="E89" t="s">
        <v>85</v>
      </c>
      <c r="F89">
        <f t="shared" si="2"/>
        <v>0</v>
      </c>
    </row>
    <row r="90" spans="1:6" x14ac:dyDescent="0.25">
      <c r="A90" t="s">
        <v>84</v>
      </c>
      <c r="B90">
        <v>89</v>
      </c>
      <c r="C90">
        <f>Prices!B90-8.5</f>
        <v>-8.5</v>
      </c>
      <c r="D90">
        <v>0</v>
      </c>
      <c r="E90" t="s">
        <v>85</v>
      </c>
      <c r="F90">
        <f t="shared" si="2"/>
        <v>0</v>
      </c>
    </row>
    <row r="91" spans="1:6" x14ac:dyDescent="0.25">
      <c r="A91" t="s">
        <v>84</v>
      </c>
      <c r="B91">
        <v>90</v>
      </c>
      <c r="C91">
        <f>Prices!B91-8.5</f>
        <v>-8.5</v>
      </c>
      <c r="D91">
        <v>0</v>
      </c>
      <c r="E91" t="s">
        <v>85</v>
      </c>
      <c r="F91">
        <f t="shared" si="2"/>
        <v>0</v>
      </c>
    </row>
    <row r="92" spans="1:6" x14ac:dyDescent="0.25">
      <c r="A92" t="s">
        <v>84</v>
      </c>
      <c r="B92">
        <v>91</v>
      </c>
      <c r="C92">
        <f>Prices!B92-8.5</f>
        <v>-8.5</v>
      </c>
      <c r="D92">
        <v>0</v>
      </c>
      <c r="E92" t="s">
        <v>85</v>
      </c>
      <c r="F92">
        <f t="shared" si="2"/>
        <v>0</v>
      </c>
    </row>
    <row r="93" spans="1:6" x14ac:dyDescent="0.25">
      <c r="A93" t="s">
        <v>84</v>
      </c>
      <c r="B93">
        <v>92</v>
      </c>
      <c r="C93">
        <f>Prices!B93-8.5</f>
        <v>-8.5</v>
      </c>
      <c r="D93">
        <v>0</v>
      </c>
      <c r="E93" t="s">
        <v>85</v>
      </c>
      <c r="F93">
        <f t="shared" si="2"/>
        <v>0</v>
      </c>
    </row>
    <row r="94" spans="1:6" x14ac:dyDescent="0.25">
      <c r="A94" t="s">
        <v>84</v>
      </c>
      <c r="B94">
        <v>93</v>
      </c>
      <c r="C94">
        <f>Prices!B94-8.5</f>
        <v>-8.5</v>
      </c>
      <c r="D94">
        <v>0</v>
      </c>
      <c r="E94" t="s">
        <v>85</v>
      </c>
      <c r="F94">
        <f t="shared" si="2"/>
        <v>0</v>
      </c>
    </row>
    <row r="95" spans="1:6" x14ac:dyDescent="0.25">
      <c r="A95" t="s">
        <v>84</v>
      </c>
      <c r="B95">
        <v>94</v>
      </c>
      <c r="C95">
        <f>Prices!B95-8.5</f>
        <v>-8.5</v>
      </c>
      <c r="D95">
        <v>0</v>
      </c>
      <c r="E95" t="s">
        <v>85</v>
      </c>
      <c r="F95">
        <f t="shared" si="2"/>
        <v>0</v>
      </c>
    </row>
    <row r="96" spans="1:6" x14ac:dyDescent="0.25">
      <c r="A96" t="s">
        <v>84</v>
      </c>
      <c r="B96">
        <v>95</v>
      </c>
      <c r="C96">
        <f>Prices!B96-8.5</f>
        <v>-8.5</v>
      </c>
      <c r="D96">
        <v>0</v>
      </c>
      <c r="E96" t="s">
        <v>85</v>
      </c>
      <c r="F96">
        <f t="shared" si="2"/>
        <v>0</v>
      </c>
    </row>
    <row r="97" spans="1:6" x14ac:dyDescent="0.25">
      <c r="A97" t="s">
        <v>84</v>
      </c>
      <c r="B97">
        <v>96</v>
      </c>
      <c r="C97">
        <f>Prices!B97-8.5</f>
        <v>-8.5</v>
      </c>
      <c r="D97">
        <v>0</v>
      </c>
      <c r="E97" t="s">
        <v>85</v>
      </c>
      <c r="F97">
        <f t="shared" si="2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F97"/>
  <sheetViews>
    <sheetView workbookViewId="0">
      <selection activeCell="J9" sqref="J9"/>
    </sheetView>
  </sheetViews>
  <sheetFormatPr defaultRowHeight="15" x14ac:dyDescent="0.25"/>
  <cols>
    <col min="2" max="2" width="7.5703125" bestFit="1" customWidth="1"/>
    <col min="3" max="3" width="6" bestFit="1" customWidth="1"/>
    <col min="4" max="4" width="4.42578125" bestFit="1" customWidth="1"/>
    <col min="5" max="5" width="6.85546875" bestFit="1" customWidth="1"/>
  </cols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Prices!B2-13</f>
        <v>-13</v>
      </c>
      <c r="D2">
        <v>0</v>
      </c>
      <c r="E2" t="s">
        <v>85</v>
      </c>
      <c r="F2">
        <f t="shared" ref="F2:F33" si="0">C2*D2/4</f>
        <v>0</v>
      </c>
    </row>
    <row r="3" spans="1:6" x14ac:dyDescent="0.25">
      <c r="A3" t="s">
        <v>84</v>
      </c>
      <c r="B3">
        <v>2</v>
      </c>
      <c r="C3">
        <f>Prices!B3-13</f>
        <v>-13</v>
      </c>
      <c r="D3">
        <v>0</v>
      </c>
      <c r="E3" t="s">
        <v>85</v>
      </c>
      <c r="F3">
        <f t="shared" si="0"/>
        <v>0</v>
      </c>
    </row>
    <row r="4" spans="1:6" x14ac:dyDescent="0.25">
      <c r="A4" t="s">
        <v>84</v>
      </c>
      <c r="B4">
        <v>3</v>
      </c>
      <c r="C4">
        <f>Prices!B4-13</f>
        <v>-13</v>
      </c>
      <c r="D4">
        <v>0</v>
      </c>
      <c r="E4" t="s">
        <v>85</v>
      </c>
      <c r="F4">
        <f t="shared" si="0"/>
        <v>0</v>
      </c>
    </row>
    <row r="5" spans="1:6" x14ac:dyDescent="0.25">
      <c r="A5" t="s">
        <v>84</v>
      </c>
      <c r="B5">
        <v>4</v>
      </c>
      <c r="C5">
        <f>Prices!B5-13</f>
        <v>-13</v>
      </c>
      <c r="D5">
        <v>0</v>
      </c>
      <c r="E5" t="s">
        <v>85</v>
      </c>
      <c r="F5">
        <f t="shared" si="0"/>
        <v>0</v>
      </c>
    </row>
    <row r="6" spans="1:6" x14ac:dyDescent="0.25">
      <c r="A6" t="s">
        <v>84</v>
      </c>
      <c r="B6">
        <v>5</v>
      </c>
      <c r="C6">
        <f>Prices!B6-13</f>
        <v>-13</v>
      </c>
      <c r="D6">
        <v>0</v>
      </c>
      <c r="E6" t="s">
        <v>85</v>
      </c>
      <c r="F6">
        <f t="shared" si="0"/>
        <v>0</v>
      </c>
    </row>
    <row r="7" spans="1:6" x14ac:dyDescent="0.25">
      <c r="A7" t="s">
        <v>84</v>
      </c>
      <c r="B7">
        <v>6</v>
      </c>
      <c r="C7">
        <f>Prices!B7-13</f>
        <v>-13</v>
      </c>
      <c r="D7">
        <v>0</v>
      </c>
      <c r="E7" t="s">
        <v>85</v>
      </c>
      <c r="F7">
        <f t="shared" si="0"/>
        <v>0</v>
      </c>
    </row>
    <row r="8" spans="1:6" x14ac:dyDescent="0.25">
      <c r="A8" t="s">
        <v>84</v>
      </c>
      <c r="B8">
        <v>7</v>
      </c>
      <c r="C8">
        <f>Prices!B8-13</f>
        <v>-13</v>
      </c>
      <c r="D8">
        <v>0</v>
      </c>
      <c r="E8" t="s">
        <v>85</v>
      </c>
      <c r="F8">
        <f t="shared" si="0"/>
        <v>0</v>
      </c>
    </row>
    <row r="9" spans="1:6" x14ac:dyDescent="0.25">
      <c r="A9" t="s">
        <v>84</v>
      </c>
      <c r="B9">
        <v>8</v>
      </c>
      <c r="C9">
        <f>Prices!B9-13</f>
        <v>-13</v>
      </c>
      <c r="D9">
        <v>0</v>
      </c>
      <c r="E9" t="s">
        <v>85</v>
      </c>
      <c r="F9">
        <f t="shared" si="0"/>
        <v>0</v>
      </c>
    </row>
    <row r="10" spans="1:6" x14ac:dyDescent="0.25">
      <c r="A10" t="s">
        <v>84</v>
      </c>
      <c r="B10">
        <v>9</v>
      </c>
      <c r="C10">
        <f>Prices!B10-13</f>
        <v>-13</v>
      </c>
      <c r="D10">
        <v>0</v>
      </c>
      <c r="E10" t="s">
        <v>85</v>
      </c>
      <c r="F10">
        <f t="shared" si="0"/>
        <v>0</v>
      </c>
    </row>
    <row r="11" spans="1:6" x14ac:dyDescent="0.25">
      <c r="A11" t="s">
        <v>84</v>
      </c>
      <c r="B11">
        <v>10</v>
      </c>
      <c r="C11">
        <f>Prices!B11-13</f>
        <v>-13</v>
      </c>
      <c r="D11">
        <v>0</v>
      </c>
      <c r="E11" t="s">
        <v>85</v>
      </c>
      <c r="F11">
        <f t="shared" si="0"/>
        <v>0</v>
      </c>
    </row>
    <row r="12" spans="1:6" x14ac:dyDescent="0.25">
      <c r="A12" t="s">
        <v>84</v>
      </c>
      <c r="B12">
        <v>11</v>
      </c>
      <c r="C12">
        <f>Prices!B12-13</f>
        <v>-13</v>
      </c>
      <c r="D12">
        <v>0</v>
      </c>
      <c r="E12" t="s">
        <v>85</v>
      </c>
      <c r="F12">
        <f t="shared" si="0"/>
        <v>0</v>
      </c>
    </row>
    <row r="13" spans="1:6" x14ac:dyDescent="0.25">
      <c r="A13" t="s">
        <v>84</v>
      </c>
      <c r="B13">
        <v>12</v>
      </c>
      <c r="C13">
        <f>Prices!B13-13</f>
        <v>-13</v>
      </c>
      <c r="D13">
        <v>0</v>
      </c>
      <c r="E13" t="s">
        <v>85</v>
      </c>
      <c r="F13">
        <f t="shared" si="0"/>
        <v>0</v>
      </c>
    </row>
    <row r="14" spans="1:6" x14ac:dyDescent="0.25">
      <c r="A14" t="s">
        <v>84</v>
      </c>
      <c r="B14">
        <v>13</v>
      </c>
      <c r="C14">
        <f>Prices!B14-13</f>
        <v>-13</v>
      </c>
      <c r="D14">
        <v>0</v>
      </c>
      <c r="E14" t="s">
        <v>85</v>
      </c>
      <c r="F14">
        <f t="shared" si="0"/>
        <v>0</v>
      </c>
    </row>
    <row r="15" spans="1:6" x14ac:dyDescent="0.25">
      <c r="A15" t="s">
        <v>84</v>
      </c>
      <c r="B15">
        <v>14</v>
      </c>
      <c r="C15">
        <f>Prices!B15-13</f>
        <v>-13</v>
      </c>
      <c r="D15">
        <v>0</v>
      </c>
      <c r="E15" t="s">
        <v>85</v>
      </c>
      <c r="F15">
        <f t="shared" si="0"/>
        <v>0</v>
      </c>
    </row>
    <row r="16" spans="1:6" x14ac:dyDescent="0.25">
      <c r="A16" t="s">
        <v>84</v>
      </c>
      <c r="B16">
        <v>15</v>
      </c>
      <c r="C16">
        <f>Prices!B16-13</f>
        <v>-13</v>
      </c>
      <c r="D16">
        <v>0</v>
      </c>
      <c r="E16" t="s">
        <v>85</v>
      </c>
      <c r="F16">
        <f t="shared" si="0"/>
        <v>0</v>
      </c>
    </row>
    <row r="17" spans="1:6" x14ac:dyDescent="0.25">
      <c r="A17" t="s">
        <v>84</v>
      </c>
      <c r="B17">
        <v>16</v>
      </c>
      <c r="C17">
        <f>Prices!B17-13</f>
        <v>-13</v>
      </c>
      <c r="D17">
        <v>0</v>
      </c>
      <c r="E17" t="s">
        <v>85</v>
      </c>
      <c r="F17">
        <f t="shared" si="0"/>
        <v>0</v>
      </c>
    </row>
    <row r="18" spans="1:6" x14ac:dyDescent="0.25">
      <c r="A18" t="s">
        <v>84</v>
      </c>
      <c r="B18">
        <v>17</v>
      </c>
      <c r="C18">
        <f>Prices!B18-13</f>
        <v>-13</v>
      </c>
      <c r="D18">
        <v>0</v>
      </c>
      <c r="E18" t="s">
        <v>85</v>
      </c>
      <c r="F18">
        <f t="shared" si="0"/>
        <v>0</v>
      </c>
    </row>
    <row r="19" spans="1:6" x14ac:dyDescent="0.25">
      <c r="A19" t="s">
        <v>84</v>
      </c>
      <c r="B19">
        <v>18</v>
      </c>
      <c r="C19">
        <f>Prices!B19-13</f>
        <v>-13</v>
      </c>
      <c r="D19">
        <v>0</v>
      </c>
      <c r="E19" t="s">
        <v>85</v>
      </c>
      <c r="F19">
        <f t="shared" si="0"/>
        <v>0</v>
      </c>
    </row>
    <row r="20" spans="1:6" x14ac:dyDescent="0.25">
      <c r="A20" t="s">
        <v>84</v>
      </c>
      <c r="B20">
        <v>19</v>
      </c>
      <c r="C20">
        <f>Prices!B20-13</f>
        <v>-13</v>
      </c>
      <c r="D20">
        <v>0</v>
      </c>
      <c r="E20" t="s">
        <v>85</v>
      </c>
      <c r="F20">
        <f t="shared" si="0"/>
        <v>0</v>
      </c>
    </row>
    <row r="21" spans="1:6" x14ac:dyDescent="0.25">
      <c r="A21" t="s">
        <v>84</v>
      </c>
      <c r="B21">
        <v>20</v>
      </c>
      <c r="C21">
        <f>Prices!B21-13</f>
        <v>-13</v>
      </c>
      <c r="D21">
        <v>0</v>
      </c>
      <c r="E21" t="s">
        <v>85</v>
      </c>
      <c r="F21">
        <f t="shared" si="0"/>
        <v>0</v>
      </c>
    </row>
    <row r="22" spans="1:6" x14ac:dyDescent="0.25">
      <c r="A22" t="s">
        <v>84</v>
      </c>
      <c r="B22">
        <v>21</v>
      </c>
      <c r="C22">
        <f>Prices!B22-13</f>
        <v>-13</v>
      </c>
      <c r="D22">
        <v>0</v>
      </c>
      <c r="E22" t="s">
        <v>85</v>
      </c>
      <c r="F22">
        <f t="shared" si="0"/>
        <v>0</v>
      </c>
    </row>
    <row r="23" spans="1:6" x14ac:dyDescent="0.25">
      <c r="A23" t="s">
        <v>84</v>
      </c>
      <c r="B23">
        <v>22</v>
      </c>
      <c r="C23">
        <f>Prices!B23-13</f>
        <v>-13</v>
      </c>
      <c r="D23">
        <v>0</v>
      </c>
      <c r="E23" t="s">
        <v>85</v>
      </c>
      <c r="F23">
        <f t="shared" si="0"/>
        <v>0</v>
      </c>
    </row>
    <row r="24" spans="1:6" x14ac:dyDescent="0.25">
      <c r="A24" t="s">
        <v>84</v>
      </c>
      <c r="B24">
        <v>23</v>
      </c>
      <c r="C24">
        <f>Prices!B24-13</f>
        <v>-13</v>
      </c>
      <c r="D24">
        <v>0</v>
      </c>
      <c r="E24" t="s">
        <v>85</v>
      </c>
      <c r="F24">
        <f t="shared" si="0"/>
        <v>0</v>
      </c>
    </row>
    <row r="25" spans="1:6" x14ac:dyDescent="0.25">
      <c r="A25" t="s">
        <v>84</v>
      </c>
      <c r="B25">
        <v>24</v>
      </c>
      <c r="C25">
        <f>Prices!B25-13</f>
        <v>-13</v>
      </c>
      <c r="D25">
        <v>0</v>
      </c>
      <c r="E25" t="s">
        <v>85</v>
      </c>
      <c r="F25">
        <f t="shared" si="0"/>
        <v>0</v>
      </c>
    </row>
    <row r="26" spans="1:6" x14ac:dyDescent="0.25">
      <c r="A26" t="s">
        <v>84</v>
      </c>
      <c r="B26">
        <v>25</v>
      </c>
      <c r="C26">
        <f>Prices!B26-13</f>
        <v>-13</v>
      </c>
      <c r="D26">
        <v>0</v>
      </c>
      <c r="E26" t="s">
        <v>85</v>
      </c>
      <c r="F26">
        <f t="shared" si="0"/>
        <v>0</v>
      </c>
    </row>
    <row r="27" spans="1:6" x14ac:dyDescent="0.25">
      <c r="A27" t="s">
        <v>84</v>
      </c>
      <c r="B27">
        <v>26</v>
      </c>
      <c r="C27">
        <f>Prices!B27-13</f>
        <v>-13</v>
      </c>
      <c r="D27">
        <v>0</v>
      </c>
      <c r="E27" t="s">
        <v>85</v>
      </c>
      <c r="F27">
        <f t="shared" si="0"/>
        <v>0</v>
      </c>
    </row>
    <row r="28" spans="1:6" x14ac:dyDescent="0.25">
      <c r="A28" t="s">
        <v>84</v>
      </c>
      <c r="B28">
        <v>27</v>
      </c>
      <c r="C28">
        <f>Prices!B28-13</f>
        <v>-13</v>
      </c>
      <c r="D28">
        <v>0</v>
      </c>
      <c r="E28" t="s">
        <v>85</v>
      </c>
      <c r="F28">
        <f t="shared" si="0"/>
        <v>0</v>
      </c>
    </row>
    <row r="29" spans="1:6" x14ac:dyDescent="0.25">
      <c r="A29" t="s">
        <v>84</v>
      </c>
      <c r="B29">
        <v>28</v>
      </c>
      <c r="C29">
        <f>Prices!B29-13</f>
        <v>-13</v>
      </c>
      <c r="D29">
        <v>0</v>
      </c>
      <c r="E29" t="s">
        <v>85</v>
      </c>
      <c r="F29">
        <f t="shared" si="0"/>
        <v>0</v>
      </c>
    </row>
    <row r="30" spans="1:6" x14ac:dyDescent="0.25">
      <c r="A30" t="s">
        <v>84</v>
      </c>
      <c r="B30">
        <v>29</v>
      </c>
      <c r="C30">
        <f>Prices!B30-13</f>
        <v>-13</v>
      </c>
      <c r="D30">
        <v>0</v>
      </c>
      <c r="E30" t="s">
        <v>85</v>
      </c>
      <c r="F30">
        <f t="shared" si="0"/>
        <v>0</v>
      </c>
    </row>
    <row r="31" spans="1:6" x14ac:dyDescent="0.25">
      <c r="A31" t="s">
        <v>84</v>
      </c>
      <c r="B31">
        <v>30</v>
      </c>
      <c r="C31">
        <f>Prices!B31-13</f>
        <v>-13</v>
      </c>
      <c r="D31">
        <v>0</v>
      </c>
      <c r="E31" t="s">
        <v>85</v>
      </c>
      <c r="F31">
        <f t="shared" si="0"/>
        <v>0</v>
      </c>
    </row>
    <row r="32" spans="1:6" x14ac:dyDescent="0.25">
      <c r="A32" t="s">
        <v>84</v>
      </c>
      <c r="B32">
        <v>31</v>
      </c>
      <c r="C32">
        <f>Prices!B32-13</f>
        <v>-13</v>
      </c>
      <c r="D32">
        <v>0</v>
      </c>
      <c r="E32" t="s">
        <v>85</v>
      </c>
      <c r="F32">
        <f t="shared" si="0"/>
        <v>0</v>
      </c>
    </row>
    <row r="33" spans="1:6" x14ac:dyDescent="0.25">
      <c r="A33" t="s">
        <v>84</v>
      </c>
      <c r="B33">
        <v>32</v>
      </c>
      <c r="C33">
        <f>Prices!B33-13</f>
        <v>-13</v>
      </c>
      <c r="D33">
        <v>0</v>
      </c>
      <c r="E33" t="s">
        <v>85</v>
      </c>
      <c r="F33">
        <f t="shared" si="0"/>
        <v>0</v>
      </c>
    </row>
    <row r="34" spans="1:6" x14ac:dyDescent="0.25">
      <c r="A34" t="s">
        <v>84</v>
      </c>
      <c r="B34">
        <v>33</v>
      </c>
      <c r="C34">
        <f>Prices!B34-13</f>
        <v>-13</v>
      </c>
      <c r="D34">
        <v>0</v>
      </c>
      <c r="E34" t="s">
        <v>85</v>
      </c>
      <c r="F34">
        <f t="shared" ref="F34:F65" si="1">C34*D34/4</f>
        <v>0</v>
      </c>
    </row>
    <row r="35" spans="1:6" x14ac:dyDescent="0.25">
      <c r="A35" t="s">
        <v>84</v>
      </c>
      <c r="B35">
        <v>34</v>
      </c>
      <c r="C35">
        <f>Prices!B35-13</f>
        <v>-13</v>
      </c>
      <c r="D35">
        <v>0</v>
      </c>
      <c r="E35" t="s">
        <v>85</v>
      </c>
      <c r="F35">
        <f t="shared" si="1"/>
        <v>0</v>
      </c>
    </row>
    <row r="36" spans="1:6" x14ac:dyDescent="0.25">
      <c r="A36" t="s">
        <v>84</v>
      </c>
      <c r="B36">
        <v>35</v>
      </c>
      <c r="C36">
        <f>Prices!B36-13</f>
        <v>-13</v>
      </c>
      <c r="D36">
        <v>0</v>
      </c>
      <c r="E36" t="s">
        <v>85</v>
      </c>
      <c r="F36">
        <f t="shared" si="1"/>
        <v>0</v>
      </c>
    </row>
    <row r="37" spans="1:6" x14ac:dyDescent="0.25">
      <c r="A37" t="s">
        <v>84</v>
      </c>
      <c r="B37">
        <v>36</v>
      </c>
      <c r="C37">
        <f>Prices!B37-13</f>
        <v>-13</v>
      </c>
      <c r="D37">
        <v>0</v>
      </c>
      <c r="E37" t="s">
        <v>85</v>
      </c>
      <c r="F37">
        <f t="shared" si="1"/>
        <v>0</v>
      </c>
    </row>
    <row r="38" spans="1:6" x14ac:dyDescent="0.25">
      <c r="A38" t="s">
        <v>84</v>
      </c>
      <c r="B38">
        <v>37</v>
      </c>
      <c r="C38">
        <f>Prices!B38-13</f>
        <v>-13</v>
      </c>
      <c r="D38">
        <v>0</v>
      </c>
      <c r="E38" t="s">
        <v>85</v>
      </c>
      <c r="F38">
        <f t="shared" si="1"/>
        <v>0</v>
      </c>
    </row>
    <row r="39" spans="1:6" x14ac:dyDescent="0.25">
      <c r="A39" t="s">
        <v>84</v>
      </c>
      <c r="B39">
        <v>38</v>
      </c>
      <c r="C39">
        <f>Prices!B39-13</f>
        <v>-13</v>
      </c>
      <c r="D39">
        <v>0</v>
      </c>
      <c r="E39" t="s">
        <v>85</v>
      </c>
      <c r="F39">
        <f t="shared" si="1"/>
        <v>0</v>
      </c>
    </row>
    <row r="40" spans="1:6" x14ac:dyDescent="0.25">
      <c r="A40" t="s">
        <v>84</v>
      </c>
      <c r="B40">
        <v>39</v>
      </c>
      <c r="C40">
        <f>Prices!B40-13</f>
        <v>-13</v>
      </c>
      <c r="D40">
        <v>0</v>
      </c>
      <c r="E40" t="s">
        <v>85</v>
      </c>
      <c r="F40">
        <f t="shared" si="1"/>
        <v>0</v>
      </c>
    </row>
    <row r="41" spans="1:6" x14ac:dyDescent="0.25">
      <c r="A41" t="s">
        <v>84</v>
      </c>
      <c r="B41">
        <v>40</v>
      </c>
      <c r="C41">
        <f>Prices!B41-13</f>
        <v>-13</v>
      </c>
      <c r="D41">
        <v>0</v>
      </c>
      <c r="E41" t="s">
        <v>85</v>
      </c>
      <c r="F41">
        <f t="shared" si="1"/>
        <v>0</v>
      </c>
    </row>
    <row r="42" spans="1:6" x14ac:dyDescent="0.25">
      <c r="A42" t="s">
        <v>84</v>
      </c>
      <c r="B42">
        <v>41</v>
      </c>
      <c r="C42">
        <f>Prices!B42-13</f>
        <v>-13</v>
      </c>
      <c r="D42">
        <v>0</v>
      </c>
      <c r="E42" t="s">
        <v>85</v>
      </c>
      <c r="F42">
        <f t="shared" si="1"/>
        <v>0</v>
      </c>
    </row>
    <row r="43" spans="1:6" x14ac:dyDescent="0.25">
      <c r="A43" t="s">
        <v>84</v>
      </c>
      <c r="B43">
        <v>42</v>
      </c>
      <c r="C43">
        <f>Prices!B43-13</f>
        <v>-13</v>
      </c>
      <c r="D43">
        <v>0</v>
      </c>
      <c r="E43" t="s">
        <v>85</v>
      </c>
      <c r="F43">
        <f t="shared" si="1"/>
        <v>0</v>
      </c>
    </row>
    <row r="44" spans="1:6" x14ac:dyDescent="0.25">
      <c r="A44" t="s">
        <v>84</v>
      </c>
      <c r="B44">
        <v>43</v>
      </c>
      <c r="C44">
        <f>Prices!B44-13</f>
        <v>-13</v>
      </c>
      <c r="D44">
        <v>0</v>
      </c>
      <c r="E44" t="s">
        <v>85</v>
      </c>
      <c r="F44">
        <f t="shared" si="1"/>
        <v>0</v>
      </c>
    </row>
    <row r="45" spans="1:6" x14ac:dyDescent="0.25">
      <c r="A45" t="s">
        <v>84</v>
      </c>
      <c r="B45">
        <v>44</v>
      </c>
      <c r="C45">
        <f>Prices!B45-13</f>
        <v>-13</v>
      </c>
      <c r="D45">
        <v>0</v>
      </c>
      <c r="E45" t="s">
        <v>85</v>
      </c>
      <c r="F45">
        <f t="shared" si="1"/>
        <v>0</v>
      </c>
    </row>
    <row r="46" spans="1:6" x14ac:dyDescent="0.25">
      <c r="A46" t="s">
        <v>84</v>
      </c>
      <c r="B46">
        <v>45</v>
      </c>
      <c r="C46">
        <f>Prices!B46-13</f>
        <v>-13</v>
      </c>
      <c r="D46">
        <v>0</v>
      </c>
      <c r="E46" t="s">
        <v>85</v>
      </c>
      <c r="F46">
        <f t="shared" si="1"/>
        <v>0</v>
      </c>
    </row>
    <row r="47" spans="1:6" x14ac:dyDescent="0.25">
      <c r="A47" t="s">
        <v>84</v>
      </c>
      <c r="B47">
        <v>46</v>
      </c>
      <c r="C47">
        <f>Prices!B47-13</f>
        <v>-13</v>
      </c>
      <c r="D47">
        <v>0</v>
      </c>
      <c r="E47" t="s">
        <v>85</v>
      </c>
      <c r="F47">
        <f t="shared" si="1"/>
        <v>0</v>
      </c>
    </row>
    <row r="48" spans="1:6" x14ac:dyDescent="0.25">
      <c r="A48" t="s">
        <v>84</v>
      </c>
      <c r="B48">
        <v>47</v>
      </c>
      <c r="C48">
        <f>Prices!B48-13</f>
        <v>-13</v>
      </c>
      <c r="D48">
        <v>0</v>
      </c>
      <c r="E48" t="s">
        <v>85</v>
      </c>
      <c r="F48">
        <f t="shared" si="1"/>
        <v>0</v>
      </c>
    </row>
    <row r="49" spans="1:6" x14ac:dyDescent="0.25">
      <c r="A49" t="s">
        <v>84</v>
      </c>
      <c r="B49">
        <v>48</v>
      </c>
      <c r="C49">
        <f>Prices!B49-13</f>
        <v>-13</v>
      </c>
      <c r="D49">
        <v>0</v>
      </c>
      <c r="E49" t="s">
        <v>85</v>
      </c>
      <c r="F49">
        <f t="shared" si="1"/>
        <v>0</v>
      </c>
    </row>
    <row r="50" spans="1:6" x14ac:dyDescent="0.25">
      <c r="A50" t="s">
        <v>84</v>
      </c>
      <c r="B50">
        <v>49</v>
      </c>
      <c r="C50">
        <f>Prices!B50-13</f>
        <v>-13</v>
      </c>
      <c r="D50">
        <v>0</v>
      </c>
      <c r="E50" t="s">
        <v>85</v>
      </c>
      <c r="F50">
        <f t="shared" si="1"/>
        <v>0</v>
      </c>
    </row>
    <row r="51" spans="1:6" x14ac:dyDescent="0.25">
      <c r="A51" t="s">
        <v>84</v>
      </c>
      <c r="B51">
        <v>50</v>
      </c>
      <c r="C51">
        <f>Prices!B51-13</f>
        <v>-13</v>
      </c>
      <c r="D51">
        <v>0</v>
      </c>
      <c r="E51" t="s">
        <v>85</v>
      </c>
      <c r="F51">
        <f t="shared" si="1"/>
        <v>0</v>
      </c>
    </row>
    <row r="52" spans="1:6" x14ac:dyDescent="0.25">
      <c r="A52" t="s">
        <v>84</v>
      </c>
      <c r="B52">
        <v>51</v>
      </c>
      <c r="C52">
        <f>Prices!B52-13</f>
        <v>-13</v>
      </c>
      <c r="D52">
        <v>0</v>
      </c>
      <c r="E52" t="s">
        <v>85</v>
      </c>
      <c r="F52">
        <f t="shared" si="1"/>
        <v>0</v>
      </c>
    </row>
    <row r="53" spans="1:6" x14ac:dyDescent="0.25">
      <c r="A53" t="s">
        <v>84</v>
      </c>
      <c r="B53">
        <v>52</v>
      </c>
      <c r="C53">
        <f>Prices!B53-13</f>
        <v>-13</v>
      </c>
      <c r="D53">
        <v>0</v>
      </c>
      <c r="E53" t="s">
        <v>85</v>
      </c>
      <c r="F53">
        <f t="shared" si="1"/>
        <v>0</v>
      </c>
    </row>
    <row r="54" spans="1:6" x14ac:dyDescent="0.25">
      <c r="A54" t="s">
        <v>84</v>
      </c>
      <c r="B54">
        <v>53</v>
      </c>
      <c r="C54">
        <f>Prices!B54-13</f>
        <v>-13</v>
      </c>
      <c r="D54">
        <v>0</v>
      </c>
      <c r="E54" t="s">
        <v>85</v>
      </c>
      <c r="F54">
        <f t="shared" si="1"/>
        <v>0</v>
      </c>
    </row>
    <row r="55" spans="1:6" x14ac:dyDescent="0.25">
      <c r="A55" t="s">
        <v>84</v>
      </c>
      <c r="B55">
        <v>54</v>
      </c>
      <c r="C55">
        <f>Prices!B55-13</f>
        <v>-13</v>
      </c>
      <c r="D55">
        <v>0</v>
      </c>
      <c r="E55" t="s">
        <v>85</v>
      </c>
      <c r="F55">
        <f t="shared" si="1"/>
        <v>0</v>
      </c>
    </row>
    <row r="56" spans="1:6" x14ac:dyDescent="0.25">
      <c r="A56" t="s">
        <v>84</v>
      </c>
      <c r="B56">
        <v>55</v>
      </c>
      <c r="C56">
        <f>Prices!B56-13</f>
        <v>-13</v>
      </c>
      <c r="D56">
        <v>0</v>
      </c>
      <c r="E56" t="s">
        <v>85</v>
      </c>
      <c r="F56">
        <f t="shared" si="1"/>
        <v>0</v>
      </c>
    </row>
    <row r="57" spans="1:6" x14ac:dyDescent="0.25">
      <c r="A57" t="s">
        <v>84</v>
      </c>
      <c r="B57">
        <v>56</v>
      </c>
      <c r="C57">
        <f>Prices!B57-13</f>
        <v>-13</v>
      </c>
      <c r="D57">
        <v>0</v>
      </c>
      <c r="E57" t="s">
        <v>85</v>
      </c>
      <c r="F57">
        <f t="shared" si="1"/>
        <v>0</v>
      </c>
    </row>
    <row r="58" spans="1:6" x14ac:dyDescent="0.25">
      <c r="A58" t="s">
        <v>84</v>
      </c>
      <c r="B58">
        <v>57</v>
      </c>
      <c r="C58">
        <f>Prices!B58-13</f>
        <v>-13</v>
      </c>
      <c r="D58">
        <v>0</v>
      </c>
      <c r="E58" t="s">
        <v>85</v>
      </c>
      <c r="F58">
        <f t="shared" si="1"/>
        <v>0</v>
      </c>
    </row>
    <row r="59" spans="1:6" x14ac:dyDescent="0.25">
      <c r="A59" t="s">
        <v>84</v>
      </c>
      <c r="B59">
        <v>58</v>
      </c>
      <c r="C59">
        <f>Prices!B59-13</f>
        <v>-13</v>
      </c>
      <c r="D59">
        <v>0</v>
      </c>
      <c r="E59" t="s">
        <v>85</v>
      </c>
      <c r="F59">
        <f t="shared" si="1"/>
        <v>0</v>
      </c>
    </row>
    <row r="60" spans="1:6" x14ac:dyDescent="0.25">
      <c r="A60" t="s">
        <v>84</v>
      </c>
      <c r="B60">
        <v>59</v>
      </c>
      <c r="C60">
        <f>Prices!B60-13</f>
        <v>-13</v>
      </c>
      <c r="D60">
        <v>0</v>
      </c>
      <c r="E60" t="s">
        <v>85</v>
      </c>
      <c r="F60">
        <f t="shared" si="1"/>
        <v>0</v>
      </c>
    </row>
    <row r="61" spans="1:6" x14ac:dyDescent="0.25">
      <c r="A61" t="s">
        <v>84</v>
      </c>
      <c r="B61">
        <v>60</v>
      </c>
      <c r="C61">
        <f>Prices!B61-13</f>
        <v>-13</v>
      </c>
      <c r="D61">
        <v>0</v>
      </c>
      <c r="E61" t="s">
        <v>85</v>
      </c>
      <c r="F61">
        <f t="shared" si="1"/>
        <v>0</v>
      </c>
    </row>
    <row r="62" spans="1:6" x14ac:dyDescent="0.25">
      <c r="A62" t="s">
        <v>84</v>
      </c>
      <c r="B62">
        <v>61</v>
      </c>
      <c r="C62">
        <f>Prices!B62-13</f>
        <v>-13</v>
      </c>
      <c r="D62">
        <v>0</v>
      </c>
      <c r="E62" t="s">
        <v>85</v>
      </c>
      <c r="F62">
        <f t="shared" si="1"/>
        <v>0</v>
      </c>
    </row>
    <row r="63" spans="1:6" x14ac:dyDescent="0.25">
      <c r="A63" t="s">
        <v>84</v>
      </c>
      <c r="B63">
        <v>62</v>
      </c>
      <c r="C63">
        <f>Prices!B63-13</f>
        <v>-13</v>
      </c>
      <c r="D63">
        <v>0</v>
      </c>
      <c r="E63" t="s">
        <v>85</v>
      </c>
      <c r="F63">
        <f t="shared" si="1"/>
        <v>0</v>
      </c>
    </row>
    <row r="64" spans="1:6" x14ac:dyDescent="0.25">
      <c r="A64" t="s">
        <v>84</v>
      </c>
      <c r="B64">
        <v>63</v>
      </c>
      <c r="C64">
        <f>Prices!B64-13</f>
        <v>-13</v>
      </c>
      <c r="D64">
        <v>0</v>
      </c>
      <c r="E64" t="s">
        <v>85</v>
      </c>
      <c r="F64">
        <f t="shared" si="1"/>
        <v>0</v>
      </c>
    </row>
    <row r="65" spans="1:6" x14ac:dyDescent="0.25">
      <c r="A65" t="s">
        <v>84</v>
      </c>
      <c r="B65">
        <v>64</v>
      </c>
      <c r="C65">
        <f>Prices!B65-13</f>
        <v>-13</v>
      </c>
      <c r="D65">
        <v>0</v>
      </c>
      <c r="E65" t="s">
        <v>85</v>
      </c>
      <c r="F65">
        <f t="shared" si="1"/>
        <v>0</v>
      </c>
    </row>
    <row r="66" spans="1:6" x14ac:dyDescent="0.25">
      <c r="A66" t="s">
        <v>84</v>
      </c>
      <c r="B66">
        <v>65</v>
      </c>
      <c r="C66">
        <f>Prices!B66-13</f>
        <v>-13</v>
      </c>
      <c r="D66">
        <v>0</v>
      </c>
      <c r="E66" t="s">
        <v>85</v>
      </c>
      <c r="F66">
        <f t="shared" ref="F66:F97" si="2">C66*D66/4</f>
        <v>0</v>
      </c>
    </row>
    <row r="67" spans="1:6" x14ac:dyDescent="0.25">
      <c r="A67" t="s">
        <v>84</v>
      </c>
      <c r="B67">
        <v>66</v>
      </c>
      <c r="C67">
        <f>Prices!B67-13</f>
        <v>-13</v>
      </c>
      <c r="D67">
        <v>0</v>
      </c>
      <c r="E67" t="s">
        <v>85</v>
      </c>
      <c r="F67">
        <f t="shared" si="2"/>
        <v>0</v>
      </c>
    </row>
    <row r="68" spans="1:6" x14ac:dyDescent="0.25">
      <c r="A68" t="s">
        <v>84</v>
      </c>
      <c r="B68">
        <v>67</v>
      </c>
      <c r="C68">
        <f>Prices!B68-13</f>
        <v>-13</v>
      </c>
      <c r="D68">
        <v>0</v>
      </c>
      <c r="E68" t="s">
        <v>85</v>
      </c>
      <c r="F68">
        <f t="shared" si="2"/>
        <v>0</v>
      </c>
    </row>
    <row r="69" spans="1:6" x14ac:dyDescent="0.25">
      <c r="A69" t="s">
        <v>84</v>
      </c>
      <c r="B69">
        <v>68</v>
      </c>
      <c r="C69">
        <f>Prices!B69-13</f>
        <v>-13</v>
      </c>
      <c r="D69">
        <v>0</v>
      </c>
      <c r="E69" t="s">
        <v>85</v>
      </c>
      <c r="F69">
        <f t="shared" si="2"/>
        <v>0</v>
      </c>
    </row>
    <row r="70" spans="1:6" x14ac:dyDescent="0.25">
      <c r="A70" t="s">
        <v>84</v>
      </c>
      <c r="B70">
        <v>69</v>
      </c>
      <c r="C70">
        <f>Prices!B70-13</f>
        <v>-13</v>
      </c>
      <c r="D70">
        <v>0</v>
      </c>
      <c r="E70" t="s">
        <v>85</v>
      </c>
      <c r="F70">
        <f t="shared" si="2"/>
        <v>0</v>
      </c>
    </row>
    <row r="71" spans="1:6" x14ac:dyDescent="0.25">
      <c r="A71" t="s">
        <v>84</v>
      </c>
      <c r="B71">
        <v>70</v>
      </c>
      <c r="C71">
        <f>Prices!B71-13</f>
        <v>-13</v>
      </c>
      <c r="D71">
        <v>0</v>
      </c>
      <c r="E71" t="s">
        <v>85</v>
      </c>
      <c r="F71">
        <f t="shared" si="2"/>
        <v>0</v>
      </c>
    </row>
    <row r="72" spans="1:6" x14ac:dyDescent="0.25">
      <c r="A72" t="s">
        <v>84</v>
      </c>
      <c r="B72">
        <v>71</v>
      </c>
      <c r="C72">
        <f>Prices!B72-13</f>
        <v>-13</v>
      </c>
      <c r="D72">
        <v>0</v>
      </c>
      <c r="E72" t="s">
        <v>85</v>
      </c>
      <c r="F72">
        <f t="shared" si="2"/>
        <v>0</v>
      </c>
    </row>
    <row r="73" spans="1:6" x14ac:dyDescent="0.25">
      <c r="A73" t="s">
        <v>84</v>
      </c>
      <c r="B73">
        <v>72</v>
      </c>
      <c r="C73">
        <f>Prices!B73-13</f>
        <v>-13</v>
      </c>
      <c r="D73">
        <v>0</v>
      </c>
      <c r="E73" t="s">
        <v>85</v>
      </c>
      <c r="F73">
        <f t="shared" si="2"/>
        <v>0</v>
      </c>
    </row>
    <row r="74" spans="1:6" x14ac:dyDescent="0.25">
      <c r="A74" t="s">
        <v>84</v>
      </c>
      <c r="B74">
        <v>73</v>
      </c>
      <c r="C74">
        <f>Prices!B74-13</f>
        <v>-13</v>
      </c>
      <c r="D74">
        <v>0</v>
      </c>
      <c r="E74" t="s">
        <v>85</v>
      </c>
      <c r="F74">
        <f t="shared" si="2"/>
        <v>0</v>
      </c>
    </row>
    <row r="75" spans="1:6" x14ac:dyDescent="0.25">
      <c r="A75" t="s">
        <v>84</v>
      </c>
      <c r="B75">
        <v>74</v>
      </c>
      <c r="C75">
        <f>Prices!B75-13</f>
        <v>-13</v>
      </c>
      <c r="D75">
        <v>0</v>
      </c>
      <c r="E75" t="s">
        <v>85</v>
      </c>
      <c r="F75">
        <f t="shared" si="2"/>
        <v>0</v>
      </c>
    </row>
    <row r="76" spans="1:6" x14ac:dyDescent="0.25">
      <c r="A76" t="s">
        <v>84</v>
      </c>
      <c r="B76">
        <v>75</v>
      </c>
      <c r="C76">
        <f>Prices!B76-13</f>
        <v>-13</v>
      </c>
      <c r="D76">
        <v>0</v>
      </c>
      <c r="E76" t="s">
        <v>85</v>
      </c>
      <c r="F76">
        <f t="shared" si="2"/>
        <v>0</v>
      </c>
    </row>
    <row r="77" spans="1:6" x14ac:dyDescent="0.25">
      <c r="A77" t="s">
        <v>84</v>
      </c>
      <c r="B77">
        <v>76</v>
      </c>
      <c r="C77">
        <f>Prices!B77-13</f>
        <v>-13</v>
      </c>
      <c r="D77">
        <v>0</v>
      </c>
      <c r="E77" t="s">
        <v>85</v>
      </c>
      <c r="F77">
        <f t="shared" si="2"/>
        <v>0</v>
      </c>
    </row>
    <row r="78" spans="1:6" x14ac:dyDescent="0.25">
      <c r="A78" t="s">
        <v>84</v>
      </c>
      <c r="B78">
        <v>77</v>
      </c>
      <c r="C78">
        <f>Prices!B78-13</f>
        <v>-13</v>
      </c>
      <c r="D78">
        <v>0</v>
      </c>
      <c r="E78" t="s">
        <v>85</v>
      </c>
      <c r="F78">
        <f t="shared" si="2"/>
        <v>0</v>
      </c>
    </row>
    <row r="79" spans="1:6" x14ac:dyDescent="0.25">
      <c r="A79" t="s">
        <v>84</v>
      </c>
      <c r="B79">
        <v>78</v>
      </c>
      <c r="C79">
        <f>Prices!B79-13</f>
        <v>-13</v>
      </c>
      <c r="D79">
        <v>0</v>
      </c>
      <c r="E79" t="s">
        <v>85</v>
      </c>
      <c r="F79">
        <f t="shared" si="2"/>
        <v>0</v>
      </c>
    </row>
    <row r="80" spans="1:6" x14ac:dyDescent="0.25">
      <c r="A80" t="s">
        <v>84</v>
      </c>
      <c r="B80">
        <v>79</v>
      </c>
      <c r="C80">
        <f>Prices!B80-13</f>
        <v>-13</v>
      </c>
      <c r="D80">
        <v>0</v>
      </c>
      <c r="E80" t="s">
        <v>85</v>
      </c>
      <c r="F80">
        <f t="shared" si="2"/>
        <v>0</v>
      </c>
    </row>
    <row r="81" spans="1:6" x14ac:dyDescent="0.25">
      <c r="A81" t="s">
        <v>84</v>
      </c>
      <c r="B81">
        <v>80</v>
      </c>
      <c r="C81">
        <f>Prices!B81-13</f>
        <v>-13</v>
      </c>
      <c r="D81">
        <v>0</v>
      </c>
      <c r="E81" t="s">
        <v>85</v>
      </c>
      <c r="F81">
        <f t="shared" si="2"/>
        <v>0</v>
      </c>
    </row>
    <row r="82" spans="1:6" x14ac:dyDescent="0.25">
      <c r="A82" t="s">
        <v>84</v>
      </c>
      <c r="B82">
        <v>81</v>
      </c>
      <c r="C82">
        <f>Prices!B82-13</f>
        <v>-13</v>
      </c>
      <c r="D82">
        <v>0</v>
      </c>
      <c r="E82" t="s">
        <v>85</v>
      </c>
      <c r="F82">
        <f t="shared" si="2"/>
        <v>0</v>
      </c>
    </row>
    <row r="83" spans="1:6" x14ac:dyDescent="0.25">
      <c r="A83" t="s">
        <v>84</v>
      </c>
      <c r="B83">
        <v>82</v>
      </c>
      <c r="C83">
        <f>Prices!B83-13</f>
        <v>-13</v>
      </c>
      <c r="D83">
        <v>0</v>
      </c>
      <c r="E83" t="s">
        <v>85</v>
      </c>
      <c r="F83">
        <f t="shared" si="2"/>
        <v>0</v>
      </c>
    </row>
    <row r="84" spans="1:6" x14ac:dyDescent="0.25">
      <c r="A84" t="s">
        <v>84</v>
      </c>
      <c r="B84">
        <v>83</v>
      </c>
      <c r="C84">
        <f>Prices!B84-13</f>
        <v>-13</v>
      </c>
      <c r="D84">
        <v>0</v>
      </c>
      <c r="E84" t="s">
        <v>85</v>
      </c>
      <c r="F84">
        <f t="shared" si="2"/>
        <v>0</v>
      </c>
    </row>
    <row r="85" spans="1:6" x14ac:dyDescent="0.25">
      <c r="A85" t="s">
        <v>84</v>
      </c>
      <c r="B85">
        <v>84</v>
      </c>
      <c r="C85">
        <f>Prices!B85-13</f>
        <v>-13</v>
      </c>
      <c r="D85">
        <v>0</v>
      </c>
      <c r="E85" t="s">
        <v>85</v>
      </c>
      <c r="F85">
        <f t="shared" si="2"/>
        <v>0</v>
      </c>
    </row>
    <row r="86" spans="1:6" x14ac:dyDescent="0.25">
      <c r="A86" t="s">
        <v>84</v>
      </c>
      <c r="B86">
        <v>85</v>
      </c>
      <c r="C86">
        <f>Prices!B86-13</f>
        <v>-13</v>
      </c>
      <c r="D86">
        <v>0</v>
      </c>
      <c r="E86" t="s">
        <v>85</v>
      </c>
      <c r="F86">
        <f t="shared" si="2"/>
        <v>0</v>
      </c>
    </row>
    <row r="87" spans="1:6" x14ac:dyDescent="0.25">
      <c r="A87" t="s">
        <v>84</v>
      </c>
      <c r="B87">
        <v>86</v>
      </c>
      <c r="C87">
        <f>Prices!B87-13</f>
        <v>-13</v>
      </c>
      <c r="D87">
        <v>0</v>
      </c>
      <c r="E87" t="s">
        <v>85</v>
      </c>
      <c r="F87">
        <f t="shared" si="2"/>
        <v>0</v>
      </c>
    </row>
    <row r="88" spans="1:6" x14ac:dyDescent="0.25">
      <c r="A88" t="s">
        <v>84</v>
      </c>
      <c r="B88">
        <v>87</v>
      </c>
      <c r="C88">
        <f>Prices!B88-13</f>
        <v>-13</v>
      </c>
      <c r="D88">
        <v>0</v>
      </c>
      <c r="E88" t="s">
        <v>85</v>
      </c>
      <c r="F88">
        <f t="shared" si="2"/>
        <v>0</v>
      </c>
    </row>
    <row r="89" spans="1:6" x14ac:dyDescent="0.25">
      <c r="A89" t="s">
        <v>84</v>
      </c>
      <c r="B89">
        <v>88</v>
      </c>
      <c r="C89">
        <f>Prices!B89-13</f>
        <v>-13</v>
      </c>
      <c r="D89">
        <v>0</v>
      </c>
      <c r="E89" t="s">
        <v>85</v>
      </c>
      <c r="F89">
        <f t="shared" si="2"/>
        <v>0</v>
      </c>
    </row>
    <row r="90" spans="1:6" x14ac:dyDescent="0.25">
      <c r="A90" t="s">
        <v>84</v>
      </c>
      <c r="B90">
        <v>89</v>
      </c>
      <c r="C90">
        <f>Prices!B90-13</f>
        <v>-13</v>
      </c>
      <c r="D90">
        <v>0</v>
      </c>
      <c r="E90" t="s">
        <v>85</v>
      </c>
      <c r="F90">
        <f t="shared" si="2"/>
        <v>0</v>
      </c>
    </row>
    <row r="91" spans="1:6" x14ac:dyDescent="0.25">
      <c r="A91" t="s">
        <v>84</v>
      </c>
      <c r="B91">
        <v>90</v>
      </c>
      <c r="C91">
        <f>Prices!B91-13</f>
        <v>-13</v>
      </c>
      <c r="D91">
        <v>0</v>
      </c>
      <c r="E91" t="s">
        <v>85</v>
      </c>
      <c r="F91">
        <f t="shared" si="2"/>
        <v>0</v>
      </c>
    </row>
    <row r="92" spans="1:6" x14ac:dyDescent="0.25">
      <c r="A92" t="s">
        <v>84</v>
      </c>
      <c r="B92">
        <v>91</v>
      </c>
      <c r="C92">
        <f>Prices!B92-13</f>
        <v>-13</v>
      </c>
      <c r="D92">
        <v>0</v>
      </c>
      <c r="E92" t="s">
        <v>85</v>
      </c>
      <c r="F92">
        <f t="shared" si="2"/>
        <v>0</v>
      </c>
    </row>
    <row r="93" spans="1:6" x14ac:dyDescent="0.25">
      <c r="A93" t="s">
        <v>84</v>
      </c>
      <c r="B93">
        <v>92</v>
      </c>
      <c r="C93">
        <f>Prices!B93-13</f>
        <v>-13</v>
      </c>
      <c r="D93">
        <v>0</v>
      </c>
      <c r="E93" t="s">
        <v>85</v>
      </c>
      <c r="F93">
        <f t="shared" si="2"/>
        <v>0</v>
      </c>
    </row>
    <row r="94" spans="1:6" x14ac:dyDescent="0.25">
      <c r="A94" t="s">
        <v>84</v>
      </c>
      <c r="B94">
        <v>93</v>
      </c>
      <c r="C94">
        <f>Prices!B94-13</f>
        <v>-13</v>
      </c>
      <c r="D94">
        <v>0</v>
      </c>
      <c r="E94" t="s">
        <v>85</v>
      </c>
      <c r="F94">
        <f t="shared" si="2"/>
        <v>0</v>
      </c>
    </row>
    <row r="95" spans="1:6" x14ac:dyDescent="0.25">
      <c r="A95" t="s">
        <v>84</v>
      </c>
      <c r="B95">
        <v>94</v>
      </c>
      <c r="C95">
        <f>Prices!B95-13</f>
        <v>-13</v>
      </c>
      <c r="D95">
        <v>0</v>
      </c>
      <c r="E95" t="s">
        <v>85</v>
      </c>
      <c r="F95">
        <f t="shared" si="2"/>
        <v>0</v>
      </c>
    </row>
    <row r="96" spans="1:6" x14ac:dyDescent="0.25">
      <c r="A96" t="s">
        <v>84</v>
      </c>
      <c r="B96">
        <v>95</v>
      </c>
      <c r="C96">
        <f>Prices!B96-13</f>
        <v>-13</v>
      </c>
      <c r="D96">
        <v>0</v>
      </c>
      <c r="E96" t="s">
        <v>85</v>
      </c>
      <c r="F96">
        <f t="shared" si="2"/>
        <v>0</v>
      </c>
    </row>
    <row r="97" spans="1:6" x14ac:dyDescent="0.25">
      <c r="A97" t="s">
        <v>84</v>
      </c>
      <c r="B97">
        <v>96</v>
      </c>
      <c r="C97">
        <f>Prices!B97-13</f>
        <v>-13</v>
      </c>
      <c r="D97">
        <v>0</v>
      </c>
      <c r="E97" t="s">
        <v>85</v>
      </c>
      <c r="F97">
        <f t="shared" si="2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F97"/>
  <sheetViews>
    <sheetView topLeftCell="A34" workbookViewId="0">
      <selection activeCell="C55" sqref="C55"/>
    </sheetView>
  </sheetViews>
  <sheetFormatPr defaultRowHeight="15" x14ac:dyDescent="0.25"/>
  <cols>
    <col min="2" max="2" width="7.5703125" bestFit="1" customWidth="1"/>
    <col min="3" max="3" width="6" bestFit="1" customWidth="1"/>
    <col min="4" max="4" width="4.42578125" bestFit="1" customWidth="1"/>
    <col min="5" max="5" width="6.85546875" bestFit="1" customWidth="1"/>
  </cols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Prices!B2-18</f>
        <v>-18</v>
      </c>
      <c r="D2">
        <v>5</v>
      </c>
      <c r="E2" t="s">
        <v>85</v>
      </c>
      <c r="F2">
        <f t="shared" ref="F2:F33" si="0">C2*D2/4</f>
        <v>-22.5</v>
      </c>
    </row>
    <row r="3" spans="1:6" x14ac:dyDescent="0.25">
      <c r="A3" t="s">
        <v>84</v>
      </c>
      <c r="B3">
        <v>2</v>
      </c>
      <c r="C3">
        <f>Prices!B3-18</f>
        <v>-18</v>
      </c>
      <c r="D3">
        <v>5</v>
      </c>
      <c r="E3" t="s">
        <v>85</v>
      </c>
      <c r="F3">
        <f t="shared" si="0"/>
        <v>-22.5</v>
      </c>
    </row>
    <row r="4" spans="1:6" x14ac:dyDescent="0.25">
      <c r="A4" t="s">
        <v>84</v>
      </c>
      <c r="B4">
        <v>3</v>
      </c>
      <c r="C4">
        <f>Prices!B4-18</f>
        <v>-18</v>
      </c>
      <c r="D4">
        <v>5</v>
      </c>
      <c r="E4" t="s">
        <v>85</v>
      </c>
      <c r="F4">
        <f t="shared" si="0"/>
        <v>-22.5</v>
      </c>
    </row>
    <row r="5" spans="1:6" x14ac:dyDescent="0.25">
      <c r="A5" t="s">
        <v>84</v>
      </c>
      <c r="B5">
        <v>4</v>
      </c>
      <c r="C5">
        <f>Prices!B5-18</f>
        <v>-18</v>
      </c>
      <c r="D5">
        <v>5</v>
      </c>
      <c r="E5" t="s">
        <v>85</v>
      </c>
      <c r="F5">
        <f t="shared" si="0"/>
        <v>-22.5</v>
      </c>
    </row>
    <row r="6" spans="1:6" x14ac:dyDescent="0.25">
      <c r="A6" t="s">
        <v>84</v>
      </c>
      <c r="B6">
        <v>5</v>
      </c>
      <c r="C6">
        <f>Prices!B6-18</f>
        <v>-18</v>
      </c>
      <c r="D6">
        <v>5</v>
      </c>
      <c r="E6" t="s">
        <v>85</v>
      </c>
      <c r="F6">
        <f t="shared" si="0"/>
        <v>-22.5</v>
      </c>
    </row>
    <row r="7" spans="1:6" x14ac:dyDescent="0.25">
      <c r="A7" t="s">
        <v>84</v>
      </c>
      <c r="B7">
        <v>6</v>
      </c>
      <c r="C7">
        <f>Prices!B7-18</f>
        <v>-18</v>
      </c>
      <c r="D7">
        <v>5</v>
      </c>
      <c r="E7" t="s">
        <v>85</v>
      </c>
      <c r="F7">
        <f t="shared" si="0"/>
        <v>-22.5</v>
      </c>
    </row>
    <row r="8" spans="1:6" x14ac:dyDescent="0.25">
      <c r="A8" t="s">
        <v>84</v>
      </c>
      <c r="B8">
        <v>7</v>
      </c>
      <c r="C8">
        <f>Prices!B8-18</f>
        <v>-18</v>
      </c>
      <c r="D8">
        <v>5</v>
      </c>
      <c r="E8" t="s">
        <v>85</v>
      </c>
      <c r="F8">
        <f t="shared" si="0"/>
        <v>-22.5</v>
      </c>
    </row>
    <row r="9" spans="1:6" x14ac:dyDescent="0.25">
      <c r="A9" t="s">
        <v>84</v>
      </c>
      <c r="B9">
        <v>8</v>
      </c>
      <c r="C9">
        <f>Prices!B9-18</f>
        <v>-18</v>
      </c>
      <c r="D9">
        <v>5</v>
      </c>
      <c r="E9" t="s">
        <v>85</v>
      </c>
      <c r="F9">
        <f t="shared" si="0"/>
        <v>-22.5</v>
      </c>
    </row>
    <row r="10" spans="1:6" x14ac:dyDescent="0.25">
      <c r="A10" t="s">
        <v>84</v>
      </c>
      <c r="B10">
        <v>9</v>
      </c>
      <c r="C10">
        <f>Prices!B10-18</f>
        <v>-18</v>
      </c>
      <c r="D10">
        <v>5</v>
      </c>
      <c r="E10" t="s">
        <v>85</v>
      </c>
      <c r="F10">
        <f t="shared" si="0"/>
        <v>-22.5</v>
      </c>
    </row>
    <row r="11" spans="1:6" x14ac:dyDescent="0.25">
      <c r="A11" t="s">
        <v>84</v>
      </c>
      <c r="B11">
        <v>10</v>
      </c>
      <c r="C11">
        <f>Prices!B11-18</f>
        <v>-18</v>
      </c>
      <c r="D11">
        <v>5</v>
      </c>
      <c r="E11" t="s">
        <v>85</v>
      </c>
      <c r="F11">
        <f t="shared" si="0"/>
        <v>-22.5</v>
      </c>
    </row>
    <row r="12" spans="1:6" x14ac:dyDescent="0.25">
      <c r="A12" t="s">
        <v>84</v>
      </c>
      <c r="B12">
        <v>11</v>
      </c>
      <c r="C12">
        <f>Prices!B12-18</f>
        <v>-18</v>
      </c>
      <c r="D12">
        <v>5</v>
      </c>
      <c r="E12" t="s">
        <v>85</v>
      </c>
      <c r="F12">
        <f t="shared" si="0"/>
        <v>-22.5</v>
      </c>
    </row>
    <row r="13" spans="1:6" x14ac:dyDescent="0.25">
      <c r="A13" t="s">
        <v>84</v>
      </c>
      <c r="B13">
        <v>12</v>
      </c>
      <c r="C13">
        <f>Prices!B13-18</f>
        <v>-18</v>
      </c>
      <c r="D13">
        <v>5</v>
      </c>
      <c r="E13" t="s">
        <v>85</v>
      </c>
      <c r="F13">
        <f t="shared" si="0"/>
        <v>-22.5</v>
      </c>
    </row>
    <row r="14" spans="1:6" x14ac:dyDescent="0.25">
      <c r="A14" t="s">
        <v>84</v>
      </c>
      <c r="B14">
        <v>13</v>
      </c>
      <c r="C14">
        <f>Prices!B14-18</f>
        <v>-18</v>
      </c>
      <c r="D14">
        <v>5</v>
      </c>
      <c r="E14" t="s">
        <v>85</v>
      </c>
      <c r="F14">
        <f t="shared" si="0"/>
        <v>-22.5</v>
      </c>
    </row>
    <row r="15" spans="1:6" x14ac:dyDescent="0.25">
      <c r="A15" t="s">
        <v>84</v>
      </c>
      <c r="B15">
        <v>14</v>
      </c>
      <c r="C15">
        <f>Prices!B15-18</f>
        <v>-18</v>
      </c>
      <c r="D15">
        <v>5</v>
      </c>
      <c r="E15" t="s">
        <v>85</v>
      </c>
      <c r="F15">
        <f t="shared" si="0"/>
        <v>-22.5</v>
      </c>
    </row>
    <row r="16" spans="1:6" x14ac:dyDescent="0.25">
      <c r="A16" t="s">
        <v>84</v>
      </c>
      <c r="B16">
        <v>15</v>
      </c>
      <c r="C16">
        <f>Prices!B16-18</f>
        <v>-18</v>
      </c>
      <c r="D16">
        <v>5</v>
      </c>
      <c r="E16" t="s">
        <v>85</v>
      </c>
      <c r="F16">
        <f t="shared" si="0"/>
        <v>-22.5</v>
      </c>
    </row>
    <row r="17" spans="1:6" x14ac:dyDescent="0.25">
      <c r="A17" t="s">
        <v>84</v>
      </c>
      <c r="B17">
        <v>16</v>
      </c>
      <c r="C17">
        <f>Prices!B17-18</f>
        <v>-18</v>
      </c>
      <c r="D17">
        <v>5</v>
      </c>
      <c r="E17" t="s">
        <v>85</v>
      </c>
      <c r="F17">
        <f t="shared" si="0"/>
        <v>-22.5</v>
      </c>
    </row>
    <row r="18" spans="1:6" x14ac:dyDescent="0.25">
      <c r="A18" t="s">
        <v>84</v>
      </c>
      <c r="B18">
        <v>17</v>
      </c>
      <c r="C18">
        <f>Prices!B18-18</f>
        <v>-18</v>
      </c>
      <c r="D18">
        <v>5</v>
      </c>
      <c r="E18" t="s">
        <v>85</v>
      </c>
      <c r="F18">
        <f t="shared" si="0"/>
        <v>-22.5</v>
      </c>
    </row>
    <row r="19" spans="1:6" x14ac:dyDescent="0.25">
      <c r="A19" t="s">
        <v>84</v>
      </c>
      <c r="B19">
        <v>18</v>
      </c>
      <c r="C19">
        <f>Prices!B19-18</f>
        <v>-18</v>
      </c>
      <c r="D19">
        <v>5</v>
      </c>
      <c r="E19" t="s">
        <v>85</v>
      </c>
      <c r="F19">
        <f t="shared" si="0"/>
        <v>-22.5</v>
      </c>
    </row>
    <row r="20" spans="1:6" x14ac:dyDescent="0.25">
      <c r="A20" t="s">
        <v>84</v>
      </c>
      <c r="B20">
        <v>19</v>
      </c>
      <c r="C20">
        <f>Prices!B20-18</f>
        <v>-18</v>
      </c>
      <c r="D20">
        <v>5</v>
      </c>
      <c r="E20" t="s">
        <v>85</v>
      </c>
      <c r="F20">
        <f t="shared" si="0"/>
        <v>-22.5</v>
      </c>
    </row>
    <row r="21" spans="1:6" x14ac:dyDescent="0.25">
      <c r="A21" t="s">
        <v>84</v>
      </c>
      <c r="B21">
        <v>20</v>
      </c>
      <c r="C21">
        <f>Prices!B21-18</f>
        <v>-18</v>
      </c>
      <c r="D21">
        <v>5</v>
      </c>
      <c r="E21" t="s">
        <v>85</v>
      </c>
      <c r="F21">
        <f t="shared" si="0"/>
        <v>-22.5</v>
      </c>
    </row>
    <row r="22" spans="1:6" x14ac:dyDescent="0.25">
      <c r="A22" t="s">
        <v>84</v>
      </c>
      <c r="B22">
        <v>21</v>
      </c>
      <c r="C22">
        <f>Prices!B22-18</f>
        <v>-18</v>
      </c>
      <c r="D22">
        <v>5</v>
      </c>
      <c r="E22" t="s">
        <v>85</v>
      </c>
      <c r="F22">
        <f t="shared" si="0"/>
        <v>-22.5</v>
      </c>
    </row>
    <row r="23" spans="1:6" x14ac:dyDescent="0.25">
      <c r="A23" t="s">
        <v>84</v>
      </c>
      <c r="B23">
        <v>22</v>
      </c>
      <c r="C23">
        <f>Prices!B23-18</f>
        <v>-18</v>
      </c>
      <c r="D23">
        <v>5</v>
      </c>
      <c r="E23" t="s">
        <v>85</v>
      </c>
      <c r="F23">
        <f t="shared" si="0"/>
        <v>-22.5</v>
      </c>
    </row>
    <row r="24" spans="1:6" x14ac:dyDescent="0.25">
      <c r="A24" t="s">
        <v>84</v>
      </c>
      <c r="B24">
        <v>23</v>
      </c>
      <c r="C24">
        <f>Prices!B24-18</f>
        <v>-18</v>
      </c>
      <c r="D24">
        <v>5</v>
      </c>
      <c r="E24" t="s">
        <v>85</v>
      </c>
      <c r="F24">
        <f t="shared" si="0"/>
        <v>-22.5</v>
      </c>
    </row>
    <row r="25" spans="1:6" x14ac:dyDescent="0.25">
      <c r="A25" t="s">
        <v>84</v>
      </c>
      <c r="B25">
        <v>24</v>
      </c>
      <c r="C25">
        <f>Prices!B25-18</f>
        <v>-18</v>
      </c>
      <c r="D25">
        <v>5</v>
      </c>
      <c r="E25" t="s">
        <v>85</v>
      </c>
      <c r="F25">
        <f t="shared" si="0"/>
        <v>-22.5</v>
      </c>
    </row>
    <row r="26" spans="1:6" x14ac:dyDescent="0.25">
      <c r="A26" t="s">
        <v>84</v>
      </c>
      <c r="B26">
        <v>25</v>
      </c>
      <c r="C26">
        <f>Prices!B26-18</f>
        <v>-18</v>
      </c>
      <c r="D26">
        <v>5</v>
      </c>
      <c r="E26" t="s">
        <v>85</v>
      </c>
      <c r="F26">
        <f t="shared" si="0"/>
        <v>-22.5</v>
      </c>
    </row>
    <row r="27" spans="1:6" x14ac:dyDescent="0.25">
      <c r="A27" t="s">
        <v>84</v>
      </c>
      <c r="B27">
        <v>26</v>
      </c>
      <c r="C27">
        <f>Prices!B27-18</f>
        <v>-18</v>
      </c>
      <c r="D27">
        <v>5</v>
      </c>
      <c r="E27" t="s">
        <v>85</v>
      </c>
      <c r="F27">
        <f t="shared" si="0"/>
        <v>-22.5</v>
      </c>
    </row>
    <row r="28" spans="1:6" x14ac:dyDescent="0.25">
      <c r="A28" t="s">
        <v>84</v>
      </c>
      <c r="B28">
        <v>27</v>
      </c>
      <c r="C28">
        <f>Prices!B28-18</f>
        <v>-18</v>
      </c>
      <c r="D28">
        <v>5</v>
      </c>
      <c r="E28" t="s">
        <v>85</v>
      </c>
      <c r="F28">
        <f t="shared" si="0"/>
        <v>-22.5</v>
      </c>
    </row>
    <row r="29" spans="1:6" x14ac:dyDescent="0.25">
      <c r="A29" t="s">
        <v>84</v>
      </c>
      <c r="B29">
        <v>28</v>
      </c>
      <c r="C29">
        <f>Prices!B29-18</f>
        <v>-18</v>
      </c>
      <c r="D29">
        <v>5</v>
      </c>
      <c r="E29" t="s">
        <v>85</v>
      </c>
      <c r="F29">
        <f t="shared" si="0"/>
        <v>-22.5</v>
      </c>
    </row>
    <row r="30" spans="1:6" x14ac:dyDescent="0.25">
      <c r="A30" t="s">
        <v>84</v>
      </c>
      <c r="B30">
        <v>29</v>
      </c>
      <c r="C30">
        <f>Prices!B30-18</f>
        <v>-18</v>
      </c>
      <c r="D30">
        <v>5</v>
      </c>
      <c r="E30" t="s">
        <v>85</v>
      </c>
      <c r="F30">
        <f t="shared" si="0"/>
        <v>-22.5</v>
      </c>
    </row>
    <row r="31" spans="1:6" x14ac:dyDescent="0.25">
      <c r="A31" t="s">
        <v>84</v>
      </c>
      <c r="B31">
        <v>30</v>
      </c>
      <c r="C31">
        <f>Prices!B31-18</f>
        <v>-18</v>
      </c>
      <c r="D31">
        <v>5</v>
      </c>
      <c r="E31" t="s">
        <v>85</v>
      </c>
      <c r="F31">
        <f t="shared" si="0"/>
        <v>-22.5</v>
      </c>
    </row>
    <row r="32" spans="1:6" x14ac:dyDescent="0.25">
      <c r="A32" t="s">
        <v>84</v>
      </c>
      <c r="B32">
        <v>31</v>
      </c>
      <c r="C32">
        <f>Prices!B32-18</f>
        <v>-18</v>
      </c>
      <c r="D32">
        <v>5</v>
      </c>
      <c r="E32" t="s">
        <v>85</v>
      </c>
      <c r="F32">
        <f t="shared" si="0"/>
        <v>-22.5</v>
      </c>
    </row>
    <row r="33" spans="1:6" x14ac:dyDescent="0.25">
      <c r="A33" t="s">
        <v>84</v>
      </c>
      <c r="B33">
        <v>32</v>
      </c>
      <c r="C33">
        <f>Prices!B33-18</f>
        <v>-18</v>
      </c>
      <c r="D33">
        <v>5</v>
      </c>
      <c r="E33" t="s">
        <v>85</v>
      </c>
      <c r="F33">
        <f t="shared" si="0"/>
        <v>-22.5</v>
      </c>
    </row>
    <row r="34" spans="1:6" x14ac:dyDescent="0.25">
      <c r="A34" t="s">
        <v>84</v>
      </c>
      <c r="B34">
        <v>33</v>
      </c>
      <c r="C34">
        <f>Prices!B34-18</f>
        <v>-18</v>
      </c>
      <c r="D34">
        <v>5</v>
      </c>
      <c r="E34" t="s">
        <v>85</v>
      </c>
      <c r="F34">
        <f t="shared" ref="F34:F65" si="1">C34*D34/4</f>
        <v>-22.5</v>
      </c>
    </row>
    <row r="35" spans="1:6" x14ac:dyDescent="0.25">
      <c r="A35" t="s">
        <v>84</v>
      </c>
      <c r="B35">
        <v>34</v>
      </c>
      <c r="C35">
        <f>Prices!B35-18</f>
        <v>-18</v>
      </c>
      <c r="D35">
        <v>5</v>
      </c>
      <c r="E35" t="s">
        <v>85</v>
      </c>
      <c r="F35">
        <f t="shared" si="1"/>
        <v>-22.5</v>
      </c>
    </row>
    <row r="36" spans="1:6" x14ac:dyDescent="0.25">
      <c r="A36" t="s">
        <v>84</v>
      </c>
      <c r="B36">
        <v>35</v>
      </c>
      <c r="C36">
        <f>Prices!B36-18</f>
        <v>-18</v>
      </c>
      <c r="D36">
        <v>5</v>
      </c>
      <c r="E36" t="s">
        <v>85</v>
      </c>
      <c r="F36">
        <f t="shared" si="1"/>
        <v>-22.5</v>
      </c>
    </row>
    <row r="37" spans="1:6" x14ac:dyDescent="0.25">
      <c r="A37" t="s">
        <v>84</v>
      </c>
      <c r="B37">
        <v>36</v>
      </c>
      <c r="C37">
        <f>Prices!B37-18</f>
        <v>-18</v>
      </c>
      <c r="D37">
        <v>5</v>
      </c>
      <c r="E37" t="s">
        <v>85</v>
      </c>
      <c r="F37">
        <f t="shared" si="1"/>
        <v>-22.5</v>
      </c>
    </row>
    <row r="38" spans="1:6" x14ac:dyDescent="0.25">
      <c r="A38" t="s">
        <v>84</v>
      </c>
      <c r="B38">
        <v>37</v>
      </c>
      <c r="C38">
        <f>Prices!B38-18</f>
        <v>-18</v>
      </c>
      <c r="D38">
        <v>5</v>
      </c>
      <c r="E38" t="s">
        <v>85</v>
      </c>
      <c r="F38">
        <f t="shared" si="1"/>
        <v>-22.5</v>
      </c>
    </row>
    <row r="39" spans="1:6" x14ac:dyDescent="0.25">
      <c r="A39" t="s">
        <v>84</v>
      </c>
      <c r="B39">
        <v>38</v>
      </c>
      <c r="C39">
        <f>Prices!B39-18</f>
        <v>-18</v>
      </c>
      <c r="D39">
        <v>5</v>
      </c>
      <c r="E39" t="s">
        <v>85</v>
      </c>
      <c r="F39">
        <f t="shared" si="1"/>
        <v>-22.5</v>
      </c>
    </row>
    <row r="40" spans="1:6" x14ac:dyDescent="0.25">
      <c r="A40" t="s">
        <v>84</v>
      </c>
      <c r="B40">
        <v>39</v>
      </c>
      <c r="C40">
        <f>Prices!B40-18</f>
        <v>-18</v>
      </c>
      <c r="D40">
        <v>5</v>
      </c>
      <c r="E40" t="s">
        <v>85</v>
      </c>
      <c r="F40">
        <f t="shared" si="1"/>
        <v>-22.5</v>
      </c>
    </row>
    <row r="41" spans="1:6" x14ac:dyDescent="0.25">
      <c r="A41" t="s">
        <v>84</v>
      </c>
      <c r="B41">
        <v>40</v>
      </c>
      <c r="C41">
        <f>Prices!B41-18</f>
        <v>-18</v>
      </c>
      <c r="D41">
        <v>5</v>
      </c>
      <c r="E41" t="s">
        <v>85</v>
      </c>
      <c r="F41">
        <f t="shared" si="1"/>
        <v>-22.5</v>
      </c>
    </row>
    <row r="42" spans="1:6" x14ac:dyDescent="0.25">
      <c r="A42" t="s">
        <v>84</v>
      </c>
      <c r="B42">
        <v>41</v>
      </c>
      <c r="C42">
        <f>Prices!B42-18</f>
        <v>-18</v>
      </c>
      <c r="D42">
        <v>5</v>
      </c>
      <c r="E42" t="s">
        <v>85</v>
      </c>
      <c r="F42">
        <f t="shared" si="1"/>
        <v>-22.5</v>
      </c>
    </row>
    <row r="43" spans="1:6" x14ac:dyDescent="0.25">
      <c r="A43" t="s">
        <v>84</v>
      </c>
      <c r="B43">
        <v>42</v>
      </c>
      <c r="C43">
        <f>Prices!B43-18</f>
        <v>-18</v>
      </c>
      <c r="D43">
        <v>5</v>
      </c>
      <c r="E43" t="s">
        <v>85</v>
      </c>
      <c r="F43">
        <f t="shared" si="1"/>
        <v>-22.5</v>
      </c>
    </row>
    <row r="44" spans="1:6" x14ac:dyDescent="0.25">
      <c r="A44" t="s">
        <v>84</v>
      </c>
      <c r="B44">
        <v>43</v>
      </c>
      <c r="C44">
        <f>Prices!B44-18</f>
        <v>-18</v>
      </c>
      <c r="D44">
        <v>5</v>
      </c>
      <c r="E44" t="s">
        <v>85</v>
      </c>
      <c r="F44">
        <f t="shared" si="1"/>
        <v>-22.5</v>
      </c>
    </row>
    <row r="45" spans="1:6" x14ac:dyDescent="0.25">
      <c r="A45" t="s">
        <v>84</v>
      </c>
      <c r="B45">
        <v>44</v>
      </c>
      <c r="C45">
        <f>Prices!B45-18</f>
        <v>-18</v>
      </c>
      <c r="D45">
        <v>5</v>
      </c>
      <c r="E45" t="s">
        <v>85</v>
      </c>
      <c r="F45">
        <f t="shared" si="1"/>
        <v>-22.5</v>
      </c>
    </row>
    <row r="46" spans="1:6" x14ac:dyDescent="0.25">
      <c r="A46" t="s">
        <v>84</v>
      </c>
      <c r="B46">
        <v>45</v>
      </c>
      <c r="C46">
        <f>Prices!B46-18</f>
        <v>-18</v>
      </c>
      <c r="D46">
        <v>5</v>
      </c>
      <c r="E46" t="s">
        <v>85</v>
      </c>
      <c r="F46">
        <f t="shared" si="1"/>
        <v>-22.5</v>
      </c>
    </row>
    <row r="47" spans="1:6" x14ac:dyDescent="0.25">
      <c r="A47" t="s">
        <v>84</v>
      </c>
      <c r="B47">
        <v>46</v>
      </c>
      <c r="C47">
        <f>Prices!B47-18</f>
        <v>-18</v>
      </c>
      <c r="D47">
        <v>5</v>
      </c>
      <c r="E47" t="s">
        <v>85</v>
      </c>
      <c r="F47">
        <f t="shared" si="1"/>
        <v>-22.5</v>
      </c>
    </row>
    <row r="48" spans="1:6" x14ac:dyDescent="0.25">
      <c r="A48" t="s">
        <v>84</v>
      </c>
      <c r="B48">
        <v>47</v>
      </c>
      <c r="C48">
        <f>Prices!B48-18</f>
        <v>-18</v>
      </c>
      <c r="D48">
        <v>5</v>
      </c>
      <c r="E48" t="s">
        <v>85</v>
      </c>
      <c r="F48">
        <f t="shared" si="1"/>
        <v>-22.5</v>
      </c>
    </row>
    <row r="49" spans="1:6" x14ac:dyDescent="0.25">
      <c r="A49" t="s">
        <v>84</v>
      </c>
      <c r="B49">
        <v>48</v>
      </c>
      <c r="C49">
        <f>Prices!B49-18</f>
        <v>-18</v>
      </c>
      <c r="D49">
        <v>5</v>
      </c>
      <c r="E49" t="s">
        <v>85</v>
      </c>
      <c r="F49">
        <f t="shared" si="1"/>
        <v>-22.5</v>
      </c>
    </row>
    <row r="50" spans="1:6" x14ac:dyDescent="0.25">
      <c r="A50" t="s">
        <v>84</v>
      </c>
      <c r="B50">
        <v>49</v>
      </c>
      <c r="C50">
        <f>Prices!B50-18</f>
        <v>-18</v>
      </c>
      <c r="D50">
        <v>5</v>
      </c>
      <c r="E50" t="s">
        <v>85</v>
      </c>
      <c r="F50">
        <f t="shared" si="1"/>
        <v>-22.5</v>
      </c>
    </row>
    <row r="51" spans="1:6" x14ac:dyDescent="0.25">
      <c r="A51" t="s">
        <v>84</v>
      </c>
      <c r="B51">
        <v>50</v>
      </c>
      <c r="C51">
        <f>Prices!B51-18</f>
        <v>-18</v>
      </c>
      <c r="D51">
        <v>5</v>
      </c>
      <c r="E51" t="s">
        <v>85</v>
      </c>
      <c r="F51">
        <f t="shared" si="1"/>
        <v>-22.5</v>
      </c>
    </row>
    <row r="52" spans="1:6" x14ac:dyDescent="0.25">
      <c r="A52" t="s">
        <v>84</v>
      </c>
      <c r="B52">
        <v>51</v>
      </c>
      <c r="C52">
        <f>Prices!B52-18</f>
        <v>-18</v>
      </c>
      <c r="D52">
        <v>5</v>
      </c>
      <c r="E52" t="s">
        <v>85</v>
      </c>
      <c r="F52">
        <f t="shared" si="1"/>
        <v>-22.5</v>
      </c>
    </row>
    <row r="53" spans="1:6" x14ac:dyDescent="0.25">
      <c r="A53" t="s">
        <v>84</v>
      </c>
      <c r="B53">
        <v>52</v>
      </c>
      <c r="C53">
        <f>Prices!B53-18</f>
        <v>-18</v>
      </c>
      <c r="D53">
        <v>5</v>
      </c>
      <c r="E53" t="s">
        <v>85</v>
      </c>
      <c r="F53">
        <f t="shared" si="1"/>
        <v>-22.5</v>
      </c>
    </row>
    <row r="54" spans="1:6" x14ac:dyDescent="0.25">
      <c r="A54" t="s">
        <v>84</v>
      </c>
      <c r="B54">
        <v>53</v>
      </c>
      <c r="C54">
        <f>Prices!B54-18</f>
        <v>-18</v>
      </c>
      <c r="D54">
        <v>5</v>
      </c>
      <c r="E54" t="s">
        <v>85</v>
      </c>
      <c r="F54">
        <f t="shared" si="1"/>
        <v>-22.5</v>
      </c>
    </row>
    <row r="55" spans="1:6" x14ac:dyDescent="0.25">
      <c r="A55" t="s">
        <v>84</v>
      </c>
      <c r="B55">
        <v>54</v>
      </c>
      <c r="C55">
        <f>Prices!B55-18</f>
        <v>-18</v>
      </c>
      <c r="D55">
        <v>5</v>
      </c>
      <c r="E55" t="s">
        <v>85</v>
      </c>
      <c r="F55">
        <f t="shared" si="1"/>
        <v>-22.5</v>
      </c>
    </row>
    <row r="56" spans="1:6" x14ac:dyDescent="0.25">
      <c r="A56" t="s">
        <v>84</v>
      </c>
      <c r="B56">
        <v>55</v>
      </c>
      <c r="C56">
        <f>Prices!B56-18</f>
        <v>-18</v>
      </c>
      <c r="D56">
        <v>5</v>
      </c>
      <c r="E56" t="s">
        <v>85</v>
      </c>
      <c r="F56">
        <f t="shared" si="1"/>
        <v>-22.5</v>
      </c>
    </row>
    <row r="57" spans="1:6" x14ac:dyDescent="0.25">
      <c r="A57" t="s">
        <v>84</v>
      </c>
      <c r="B57">
        <v>56</v>
      </c>
      <c r="C57">
        <f>Prices!B57-18</f>
        <v>-18</v>
      </c>
      <c r="D57">
        <v>5</v>
      </c>
      <c r="E57" t="s">
        <v>85</v>
      </c>
      <c r="F57">
        <f t="shared" si="1"/>
        <v>-22.5</v>
      </c>
    </row>
    <row r="58" spans="1:6" x14ac:dyDescent="0.25">
      <c r="A58" t="s">
        <v>84</v>
      </c>
      <c r="B58">
        <v>57</v>
      </c>
      <c r="C58">
        <f>Prices!B58-18</f>
        <v>-18</v>
      </c>
      <c r="D58">
        <v>5</v>
      </c>
      <c r="E58" t="s">
        <v>85</v>
      </c>
      <c r="F58">
        <f t="shared" si="1"/>
        <v>-22.5</v>
      </c>
    </row>
    <row r="59" spans="1:6" x14ac:dyDescent="0.25">
      <c r="A59" t="s">
        <v>84</v>
      </c>
      <c r="B59">
        <v>58</v>
      </c>
      <c r="C59">
        <f>Prices!B59-18</f>
        <v>-18</v>
      </c>
      <c r="D59">
        <v>5</v>
      </c>
      <c r="E59" t="s">
        <v>85</v>
      </c>
      <c r="F59">
        <f t="shared" si="1"/>
        <v>-22.5</v>
      </c>
    </row>
    <row r="60" spans="1:6" x14ac:dyDescent="0.25">
      <c r="A60" t="s">
        <v>84</v>
      </c>
      <c r="B60">
        <v>59</v>
      </c>
      <c r="C60">
        <f>Prices!B60-18</f>
        <v>-18</v>
      </c>
      <c r="D60">
        <v>5</v>
      </c>
      <c r="E60" t="s">
        <v>85</v>
      </c>
      <c r="F60">
        <f t="shared" si="1"/>
        <v>-22.5</v>
      </c>
    </row>
    <row r="61" spans="1:6" x14ac:dyDescent="0.25">
      <c r="A61" t="s">
        <v>84</v>
      </c>
      <c r="B61">
        <v>60</v>
      </c>
      <c r="C61">
        <f>Prices!B61-18</f>
        <v>-18</v>
      </c>
      <c r="D61">
        <v>5</v>
      </c>
      <c r="E61" t="s">
        <v>85</v>
      </c>
      <c r="F61">
        <f t="shared" si="1"/>
        <v>-22.5</v>
      </c>
    </row>
    <row r="62" spans="1:6" x14ac:dyDescent="0.25">
      <c r="A62" t="s">
        <v>84</v>
      </c>
      <c r="B62">
        <v>61</v>
      </c>
      <c r="C62">
        <f>Prices!B62-18</f>
        <v>-18</v>
      </c>
      <c r="D62">
        <v>5</v>
      </c>
      <c r="E62" t="s">
        <v>85</v>
      </c>
      <c r="F62">
        <f t="shared" si="1"/>
        <v>-22.5</v>
      </c>
    </row>
    <row r="63" spans="1:6" x14ac:dyDescent="0.25">
      <c r="A63" t="s">
        <v>84</v>
      </c>
      <c r="B63">
        <v>62</v>
      </c>
      <c r="C63">
        <f>Prices!B63-18</f>
        <v>-18</v>
      </c>
      <c r="D63">
        <v>5</v>
      </c>
      <c r="E63" t="s">
        <v>85</v>
      </c>
      <c r="F63">
        <f t="shared" si="1"/>
        <v>-22.5</v>
      </c>
    </row>
    <row r="64" spans="1:6" x14ac:dyDescent="0.25">
      <c r="A64" t="s">
        <v>84</v>
      </c>
      <c r="B64">
        <v>63</v>
      </c>
      <c r="C64">
        <f>Prices!B64-18</f>
        <v>-18</v>
      </c>
      <c r="D64">
        <v>5</v>
      </c>
      <c r="E64" t="s">
        <v>85</v>
      </c>
      <c r="F64">
        <f t="shared" si="1"/>
        <v>-22.5</v>
      </c>
    </row>
    <row r="65" spans="1:6" x14ac:dyDescent="0.25">
      <c r="A65" t="s">
        <v>84</v>
      </c>
      <c r="B65">
        <v>64</v>
      </c>
      <c r="C65">
        <f>Prices!B65-18</f>
        <v>-18</v>
      </c>
      <c r="D65">
        <v>5</v>
      </c>
      <c r="E65" t="s">
        <v>85</v>
      </c>
      <c r="F65">
        <f t="shared" si="1"/>
        <v>-22.5</v>
      </c>
    </row>
    <row r="66" spans="1:6" x14ac:dyDescent="0.25">
      <c r="A66" t="s">
        <v>84</v>
      </c>
      <c r="B66">
        <v>65</v>
      </c>
      <c r="C66">
        <f>Prices!B66-18</f>
        <v>-18</v>
      </c>
      <c r="D66">
        <v>5</v>
      </c>
      <c r="E66" t="s">
        <v>85</v>
      </c>
      <c r="F66">
        <f t="shared" ref="F66:F97" si="2">C66*D66/4</f>
        <v>-22.5</v>
      </c>
    </row>
    <row r="67" spans="1:6" x14ac:dyDescent="0.25">
      <c r="A67" t="s">
        <v>84</v>
      </c>
      <c r="B67">
        <v>66</v>
      </c>
      <c r="C67">
        <f>Prices!B67-18</f>
        <v>-18</v>
      </c>
      <c r="D67">
        <v>5</v>
      </c>
      <c r="E67" t="s">
        <v>85</v>
      </c>
      <c r="F67">
        <f t="shared" si="2"/>
        <v>-22.5</v>
      </c>
    </row>
    <row r="68" spans="1:6" x14ac:dyDescent="0.25">
      <c r="A68" t="s">
        <v>84</v>
      </c>
      <c r="B68">
        <v>67</v>
      </c>
      <c r="C68">
        <f>Prices!B68-18</f>
        <v>-18</v>
      </c>
      <c r="D68">
        <v>5</v>
      </c>
      <c r="E68" t="s">
        <v>85</v>
      </c>
      <c r="F68">
        <f t="shared" si="2"/>
        <v>-22.5</v>
      </c>
    </row>
    <row r="69" spans="1:6" x14ac:dyDescent="0.25">
      <c r="A69" t="s">
        <v>84</v>
      </c>
      <c r="B69">
        <v>68</v>
      </c>
      <c r="C69">
        <f>Prices!B69-18</f>
        <v>-18</v>
      </c>
      <c r="D69">
        <v>5</v>
      </c>
      <c r="E69" t="s">
        <v>85</v>
      </c>
      <c r="F69">
        <f t="shared" si="2"/>
        <v>-22.5</v>
      </c>
    </row>
    <row r="70" spans="1:6" x14ac:dyDescent="0.25">
      <c r="A70" t="s">
        <v>84</v>
      </c>
      <c r="B70">
        <v>69</v>
      </c>
      <c r="C70">
        <f>Prices!B70-18</f>
        <v>-18</v>
      </c>
      <c r="D70">
        <v>5</v>
      </c>
      <c r="E70" t="s">
        <v>85</v>
      </c>
      <c r="F70">
        <f t="shared" si="2"/>
        <v>-22.5</v>
      </c>
    </row>
    <row r="71" spans="1:6" x14ac:dyDescent="0.25">
      <c r="A71" t="s">
        <v>84</v>
      </c>
      <c r="B71">
        <v>70</v>
      </c>
      <c r="C71">
        <f>Prices!B71-18</f>
        <v>-18</v>
      </c>
      <c r="D71">
        <v>5</v>
      </c>
      <c r="E71" t="s">
        <v>85</v>
      </c>
      <c r="F71">
        <f t="shared" si="2"/>
        <v>-22.5</v>
      </c>
    </row>
    <row r="72" spans="1:6" x14ac:dyDescent="0.25">
      <c r="A72" t="s">
        <v>84</v>
      </c>
      <c r="B72">
        <v>71</v>
      </c>
      <c r="C72">
        <f>Prices!B72-18</f>
        <v>-18</v>
      </c>
      <c r="D72">
        <v>5</v>
      </c>
      <c r="E72" t="s">
        <v>85</v>
      </c>
      <c r="F72">
        <f t="shared" si="2"/>
        <v>-22.5</v>
      </c>
    </row>
    <row r="73" spans="1:6" x14ac:dyDescent="0.25">
      <c r="A73" t="s">
        <v>84</v>
      </c>
      <c r="B73">
        <v>72</v>
      </c>
      <c r="C73">
        <f>Prices!B73-18</f>
        <v>-18</v>
      </c>
      <c r="D73">
        <v>5</v>
      </c>
      <c r="E73" t="s">
        <v>85</v>
      </c>
      <c r="F73">
        <f t="shared" si="2"/>
        <v>-22.5</v>
      </c>
    </row>
    <row r="74" spans="1:6" x14ac:dyDescent="0.25">
      <c r="A74" t="s">
        <v>84</v>
      </c>
      <c r="B74">
        <v>73</v>
      </c>
      <c r="C74">
        <f>Prices!B74-18</f>
        <v>-18</v>
      </c>
      <c r="D74">
        <v>5</v>
      </c>
      <c r="E74" t="s">
        <v>85</v>
      </c>
      <c r="F74">
        <f t="shared" si="2"/>
        <v>-22.5</v>
      </c>
    </row>
    <row r="75" spans="1:6" x14ac:dyDescent="0.25">
      <c r="A75" t="s">
        <v>84</v>
      </c>
      <c r="B75">
        <v>74</v>
      </c>
      <c r="C75">
        <f>Prices!B75-18</f>
        <v>-18</v>
      </c>
      <c r="D75">
        <v>5</v>
      </c>
      <c r="E75" t="s">
        <v>85</v>
      </c>
      <c r="F75">
        <f t="shared" si="2"/>
        <v>-22.5</v>
      </c>
    </row>
    <row r="76" spans="1:6" x14ac:dyDescent="0.25">
      <c r="A76" t="s">
        <v>84</v>
      </c>
      <c r="B76">
        <v>75</v>
      </c>
      <c r="C76">
        <f>Prices!B76-18</f>
        <v>-18</v>
      </c>
      <c r="D76">
        <v>5</v>
      </c>
      <c r="E76" t="s">
        <v>85</v>
      </c>
      <c r="F76">
        <f t="shared" si="2"/>
        <v>-22.5</v>
      </c>
    </row>
    <row r="77" spans="1:6" x14ac:dyDescent="0.25">
      <c r="A77" t="s">
        <v>84</v>
      </c>
      <c r="B77">
        <v>76</v>
      </c>
      <c r="C77">
        <f>Prices!B77-18</f>
        <v>-18</v>
      </c>
      <c r="D77">
        <v>5</v>
      </c>
      <c r="E77" t="s">
        <v>85</v>
      </c>
      <c r="F77">
        <f t="shared" si="2"/>
        <v>-22.5</v>
      </c>
    </row>
    <row r="78" spans="1:6" x14ac:dyDescent="0.25">
      <c r="A78" t="s">
        <v>84</v>
      </c>
      <c r="B78">
        <v>77</v>
      </c>
      <c r="C78">
        <f>Prices!B78-18</f>
        <v>-18</v>
      </c>
      <c r="D78">
        <v>5</v>
      </c>
      <c r="E78" t="s">
        <v>85</v>
      </c>
      <c r="F78">
        <f t="shared" si="2"/>
        <v>-22.5</v>
      </c>
    </row>
    <row r="79" spans="1:6" x14ac:dyDescent="0.25">
      <c r="A79" t="s">
        <v>84</v>
      </c>
      <c r="B79">
        <v>78</v>
      </c>
      <c r="C79">
        <f>Prices!B79-18</f>
        <v>-18</v>
      </c>
      <c r="D79">
        <v>5</v>
      </c>
      <c r="E79" t="s">
        <v>85</v>
      </c>
      <c r="F79">
        <f t="shared" si="2"/>
        <v>-22.5</v>
      </c>
    </row>
    <row r="80" spans="1:6" x14ac:dyDescent="0.25">
      <c r="A80" t="s">
        <v>84</v>
      </c>
      <c r="B80">
        <v>79</v>
      </c>
      <c r="C80">
        <f>Prices!B80-18</f>
        <v>-18</v>
      </c>
      <c r="D80">
        <v>5</v>
      </c>
      <c r="E80" t="s">
        <v>85</v>
      </c>
      <c r="F80">
        <f t="shared" si="2"/>
        <v>-22.5</v>
      </c>
    </row>
    <row r="81" spans="1:6" x14ac:dyDescent="0.25">
      <c r="A81" t="s">
        <v>84</v>
      </c>
      <c r="B81">
        <v>80</v>
      </c>
      <c r="C81">
        <f>Prices!B81-18</f>
        <v>-18</v>
      </c>
      <c r="D81">
        <v>5</v>
      </c>
      <c r="E81" t="s">
        <v>85</v>
      </c>
      <c r="F81">
        <f t="shared" si="2"/>
        <v>-22.5</v>
      </c>
    </row>
    <row r="82" spans="1:6" x14ac:dyDescent="0.25">
      <c r="A82" t="s">
        <v>84</v>
      </c>
      <c r="B82">
        <v>81</v>
      </c>
      <c r="C82">
        <f>Prices!B82-18</f>
        <v>-18</v>
      </c>
      <c r="D82">
        <v>5</v>
      </c>
      <c r="E82" t="s">
        <v>85</v>
      </c>
      <c r="F82">
        <f t="shared" si="2"/>
        <v>-22.5</v>
      </c>
    </row>
    <row r="83" spans="1:6" x14ac:dyDescent="0.25">
      <c r="A83" t="s">
        <v>84</v>
      </c>
      <c r="B83">
        <v>82</v>
      </c>
      <c r="C83">
        <f>Prices!B83-18</f>
        <v>-18</v>
      </c>
      <c r="D83">
        <v>5</v>
      </c>
      <c r="E83" t="s">
        <v>85</v>
      </c>
      <c r="F83">
        <f t="shared" si="2"/>
        <v>-22.5</v>
      </c>
    </row>
    <row r="84" spans="1:6" x14ac:dyDescent="0.25">
      <c r="A84" t="s">
        <v>84</v>
      </c>
      <c r="B84">
        <v>83</v>
      </c>
      <c r="C84">
        <f>Prices!B84-18</f>
        <v>-18</v>
      </c>
      <c r="D84">
        <v>5</v>
      </c>
      <c r="E84" t="s">
        <v>85</v>
      </c>
      <c r="F84">
        <f t="shared" si="2"/>
        <v>-22.5</v>
      </c>
    </row>
    <row r="85" spans="1:6" x14ac:dyDescent="0.25">
      <c r="A85" t="s">
        <v>84</v>
      </c>
      <c r="B85">
        <v>84</v>
      </c>
      <c r="C85">
        <f>Prices!B85-18</f>
        <v>-18</v>
      </c>
      <c r="D85">
        <v>5</v>
      </c>
      <c r="E85" t="s">
        <v>85</v>
      </c>
      <c r="F85">
        <f t="shared" si="2"/>
        <v>-22.5</v>
      </c>
    </row>
    <row r="86" spans="1:6" x14ac:dyDescent="0.25">
      <c r="A86" t="s">
        <v>84</v>
      </c>
      <c r="B86">
        <v>85</v>
      </c>
      <c r="C86">
        <f>Prices!B86-18</f>
        <v>-18</v>
      </c>
      <c r="D86">
        <v>5</v>
      </c>
      <c r="E86" t="s">
        <v>85</v>
      </c>
      <c r="F86">
        <f t="shared" si="2"/>
        <v>-22.5</v>
      </c>
    </row>
    <row r="87" spans="1:6" x14ac:dyDescent="0.25">
      <c r="A87" t="s">
        <v>84</v>
      </c>
      <c r="B87">
        <v>86</v>
      </c>
      <c r="C87">
        <f>Prices!B87-18</f>
        <v>-18</v>
      </c>
      <c r="D87">
        <v>5</v>
      </c>
      <c r="E87" t="s">
        <v>85</v>
      </c>
      <c r="F87">
        <f t="shared" si="2"/>
        <v>-22.5</v>
      </c>
    </row>
    <row r="88" spans="1:6" x14ac:dyDescent="0.25">
      <c r="A88" t="s">
        <v>84</v>
      </c>
      <c r="B88">
        <v>87</v>
      </c>
      <c r="C88">
        <f>Prices!B88-18</f>
        <v>-18</v>
      </c>
      <c r="D88">
        <v>5</v>
      </c>
      <c r="E88" t="s">
        <v>85</v>
      </c>
      <c r="F88">
        <f t="shared" si="2"/>
        <v>-22.5</v>
      </c>
    </row>
    <row r="89" spans="1:6" x14ac:dyDescent="0.25">
      <c r="A89" t="s">
        <v>84</v>
      </c>
      <c r="B89">
        <v>88</v>
      </c>
      <c r="C89">
        <f>Prices!B89-18</f>
        <v>-18</v>
      </c>
      <c r="D89">
        <v>5</v>
      </c>
      <c r="E89" t="s">
        <v>85</v>
      </c>
      <c r="F89">
        <f t="shared" si="2"/>
        <v>-22.5</v>
      </c>
    </row>
    <row r="90" spans="1:6" x14ac:dyDescent="0.25">
      <c r="A90" t="s">
        <v>84</v>
      </c>
      <c r="B90">
        <v>89</v>
      </c>
      <c r="C90">
        <f>Prices!B90-18</f>
        <v>-18</v>
      </c>
      <c r="D90">
        <v>5</v>
      </c>
      <c r="E90" t="s">
        <v>85</v>
      </c>
      <c r="F90">
        <f t="shared" si="2"/>
        <v>-22.5</v>
      </c>
    </row>
    <row r="91" spans="1:6" x14ac:dyDescent="0.25">
      <c r="A91" t="s">
        <v>84</v>
      </c>
      <c r="B91">
        <v>90</v>
      </c>
      <c r="C91">
        <f>Prices!B91-18</f>
        <v>-18</v>
      </c>
      <c r="D91">
        <v>5</v>
      </c>
      <c r="E91" t="s">
        <v>85</v>
      </c>
      <c r="F91">
        <f t="shared" si="2"/>
        <v>-22.5</v>
      </c>
    </row>
    <row r="92" spans="1:6" x14ac:dyDescent="0.25">
      <c r="A92" t="s">
        <v>84</v>
      </c>
      <c r="B92">
        <v>91</v>
      </c>
      <c r="C92">
        <f>Prices!B92-18</f>
        <v>-18</v>
      </c>
      <c r="D92">
        <v>5</v>
      </c>
      <c r="E92" t="s">
        <v>85</v>
      </c>
      <c r="F92">
        <f t="shared" si="2"/>
        <v>-22.5</v>
      </c>
    </row>
    <row r="93" spans="1:6" x14ac:dyDescent="0.25">
      <c r="A93" t="s">
        <v>84</v>
      </c>
      <c r="B93">
        <v>92</v>
      </c>
      <c r="C93">
        <f>Prices!B93-18</f>
        <v>-18</v>
      </c>
      <c r="D93">
        <v>5</v>
      </c>
      <c r="E93" t="s">
        <v>85</v>
      </c>
      <c r="F93">
        <f t="shared" si="2"/>
        <v>-22.5</v>
      </c>
    </row>
    <row r="94" spans="1:6" x14ac:dyDescent="0.25">
      <c r="A94" t="s">
        <v>84</v>
      </c>
      <c r="B94">
        <v>93</v>
      </c>
      <c r="C94">
        <f>Prices!B94-18</f>
        <v>-18</v>
      </c>
      <c r="D94">
        <v>5</v>
      </c>
      <c r="E94" t="s">
        <v>85</v>
      </c>
      <c r="F94">
        <f t="shared" si="2"/>
        <v>-22.5</v>
      </c>
    </row>
    <row r="95" spans="1:6" x14ac:dyDescent="0.25">
      <c r="A95" t="s">
        <v>84</v>
      </c>
      <c r="B95">
        <v>94</v>
      </c>
      <c r="C95">
        <f>Prices!B95-18</f>
        <v>-18</v>
      </c>
      <c r="D95">
        <v>5</v>
      </c>
      <c r="E95" t="s">
        <v>85</v>
      </c>
      <c r="F95">
        <f t="shared" si="2"/>
        <v>-22.5</v>
      </c>
    </row>
    <row r="96" spans="1:6" x14ac:dyDescent="0.25">
      <c r="A96" t="s">
        <v>84</v>
      </c>
      <c r="B96">
        <v>95</v>
      </c>
      <c r="C96">
        <f>Prices!B96-18</f>
        <v>-18</v>
      </c>
      <c r="D96">
        <v>5</v>
      </c>
      <c r="E96" t="s">
        <v>85</v>
      </c>
      <c r="F96">
        <f t="shared" si="2"/>
        <v>-22.5</v>
      </c>
    </row>
    <row r="97" spans="1:6" x14ac:dyDescent="0.25">
      <c r="A97" t="s">
        <v>84</v>
      </c>
      <c r="B97">
        <v>96</v>
      </c>
      <c r="C97">
        <f>Prices!B97-18</f>
        <v>-18</v>
      </c>
      <c r="D97">
        <v>5</v>
      </c>
      <c r="E97" t="s">
        <v>85</v>
      </c>
      <c r="F97">
        <f t="shared" si="2"/>
        <v>-22.5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6"/>
  <dimension ref="A1:F97"/>
  <sheetViews>
    <sheetView workbookViewId="0">
      <selection activeCell="I22" sqref="I22"/>
    </sheetView>
  </sheetViews>
  <sheetFormatPr defaultRowHeight="15" x14ac:dyDescent="0.25"/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Prices!B2-25</f>
        <v>-25</v>
      </c>
      <c r="D2">
        <v>5</v>
      </c>
      <c r="E2" t="s">
        <v>85</v>
      </c>
      <c r="F2">
        <f t="shared" ref="F2:F33" si="0">C2*D2/4</f>
        <v>-31.25</v>
      </c>
    </row>
    <row r="3" spans="1:6" x14ac:dyDescent="0.25">
      <c r="A3" t="s">
        <v>84</v>
      </c>
      <c r="B3">
        <v>2</v>
      </c>
      <c r="C3">
        <f>Prices!B3-25</f>
        <v>-25</v>
      </c>
      <c r="D3">
        <v>5</v>
      </c>
      <c r="E3" t="s">
        <v>85</v>
      </c>
      <c r="F3">
        <f t="shared" si="0"/>
        <v>-31.25</v>
      </c>
    </row>
    <row r="4" spans="1:6" x14ac:dyDescent="0.25">
      <c r="A4" t="s">
        <v>84</v>
      </c>
      <c r="B4">
        <v>3</v>
      </c>
      <c r="C4">
        <f>Prices!B4-25</f>
        <v>-25</v>
      </c>
      <c r="D4">
        <v>5</v>
      </c>
      <c r="E4" t="s">
        <v>85</v>
      </c>
      <c r="F4">
        <f t="shared" si="0"/>
        <v>-31.25</v>
      </c>
    </row>
    <row r="5" spans="1:6" x14ac:dyDescent="0.25">
      <c r="A5" t="s">
        <v>84</v>
      </c>
      <c r="B5">
        <v>4</v>
      </c>
      <c r="C5">
        <f>Prices!B5-25</f>
        <v>-25</v>
      </c>
      <c r="D5">
        <v>5</v>
      </c>
      <c r="E5" t="s">
        <v>85</v>
      </c>
      <c r="F5">
        <f t="shared" si="0"/>
        <v>-31.25</v>
      </c>
    </row>
    <row r="6" spans="1:6" x14ac:dyDescent="0.25">
      <c r="A6" t="s">
        <v>84</v>
      </c>
      <c r="B6">
        <v>5</v>
      </c>
      <c r="C6">
        <f>Prices!B6-25</f>
        <v>-25</v>
      </c>
      <c r="D6">
        <v>5</v>
      </c>
      <c r="E6" t="s">
        <v>85</v>
      </c>
      <c r="F6">
        <f t="shared" si="0"/>
        <v>-31.25</v>
      </c>
    </row>
    <row r="7" spans="1:6" x14ac:dyDescent="0.25">
      <c r="A7" t="s">
        <v>84</v>
      </c>
      <c r="B7">
        <v>6</v>
      </c>
      <c r="C7">
        <f>Prices!B7-25</f>
        <v>-25</v>
      </c>
      <c r="D7">
        <v>5</v>
      </c>
      <c r="E7" t="s">
        <v>85</v>
      </c>
      <c r="F7">
        <f t="shared" si="0"/>
        <v>-31.25</v>
      </c>
    </row>
    <row r="8" spans="1:6" x14ac:dyDescent="0.25">
      <c r="A8" t="s">
        <v>84</v>
      </c>
      <c r="B8">
        <v>7</v>
      </c>
      <c r="C8">
        <f>Prices!B8-25</f>
        <v>-25</v>
      </c>
      <c r="D8">
        <v>5</v>
      </c>
      <c r="E8" t="s">
        <v>85</v>
      </c>
      <c r="F8">
        <f t="shared" si="0"/>
        <v>-31.25</v>
      </c>
    </row>
    <row r="9" spans="1:6" x14ac:dyDescent="0.25">
      <c r="A9" t="s">
        <v>84</v>
      </c>
      <c r="B9">
        <v>8</v>
      </c>
      <c r="C9">
        <f>Prices!B9-25</f>
        <v>-25</v>
      </c>
      <c r="D9">
        <v>5</v>
      </c>
      <c r="E9" t="s">
        <v>85</v>
      </c>
      <c r="F9">
        <f t="shared" si="0"/>
        <v>-31.25</v>
      </c>
    </row>
    <row r="10" spans="1:6" x14ac:dyDescent="0.25">
      <c r="A10" t="s">
        <v>84</v>
      </c>
      <c r="B10">
        <v>9</v>
      </c>
      <c r="C10">
        <f>Prices!B10-25</f>
        <v>-25</v>
      </c>
      <c r="D10">
        <v>5</v>
      </c>
      <c r="E10" t="s">
        <v>85</v>
      </c>
      <c r="F10">
        <f t="shared" si="0"/>
        <v>-31.25</v>
      </c>
    </row>
    <row r="11" spans="1:6" x14ac:dyDescent="0.25">
      <c r="A11" t="s">
        <v>84</v>
      </c>
      <c r="B11">
        <v>10</v>
      </c>
      <c r="C11">
        <f>Prices!B11-25</f>
        <v>-25</v>
      </c>
      <c r="D11">
        <v>5</v>
      </c>
      <c r="E11" t="s">
        <v>85</v>
      </c>
      <c r="F11">
        <f t="shared" si="0"/>
        <v>-31.25</v>
      </c>
    </row>
    <row r="12" spans="1:6" x14ac:dyDescent="0.25">
      <c r="A12" t="s">
        <v>84</v>
      </c>
      <c r="B12">
        <v>11</v>
      </c>
      <c r="C12">
        <f>Prices!B12-25</f>
        <v>-25</v>
      </c>
      <c r="D12">
        <v>5</v>
      </c>
      <c r="E12" t="s">
        <v>85</v>
      </c>
      <c r="F12">
        <f t="shared" si="0"/>
        <v>-31.25</v>
      </c>
    </row>
    <row r="13" spans="1:6" x14ac:dyDescent="0.25">
      <c r="A13" t="s">
        <v>84</v>
      </c>
      <c r="B13">
        <v>12</v>
      </c>
      <c r="C13">
        <f>Prices!B13-25</f>
        <v>-25</v>
      </c>
      <c r="D13">
        <v>5</v>
      </c>
      <c r="E13" t="s">
        <v>85</v>
      </c>
      <c r="F13">
        <f t="shared" si="0"/>
        <v>-31.25</v>
      </c>
    </row>
    <row r="14" spans="1:6" x14ac:dyDescent="0.25">
      <c r="A14" t="s">
        <v>84</v>
      </c>
      <c r="B14">
        <v>13</v>
      </c>
      <c r="C14">
        <f>Prices!B14-25</f>
        <v>-25</v>
      </c>
      <c r="D14">
        <v>5</v>
      </c>
      <c r="E14" t="s">
        <v>85</v>
      </c>
      <c r="F14">
        <f t="shared" si="0"/>
        <v>-31.25</v>
      </c>
    </row>
    <row r="15" spans="1:6" x14ac:dyDescent="0.25">
      <c r="A15" t="s">
        <v>84</v>
      </c>
      <c r="B15">
        <v>14</v>
      </c>
      <c r="C15">
        <f>Prices!B15-25</f>
        <v>-25</v>
      </c>
      <c r="D15">
        <v>5</v>
      </c>
      <c r="E15" t="s">
        <v>85</v>
      </c>
      <c r="F15">
        <f t="shared" si="0"/>
        <v>-31.25</v>
      </c>
    </row>
    <row r="16" spans="1:6" x14ac:dyDescent="0.25">
      <c r="A16" t="s">
        <v>84</v>
      </c>
      <c r="B16">
        <v>15</v>
      </c>
      <c r="C16">
        <f>Prices!B16-25</f>
        <v>-25</v>
      </c>
      <c r="D16">
        <v>5</v>
      </c>
      <c r="E16" t="s">
        <v>85</v>
      </c>
      <c r="F16">
        <f t="shared" si="0"/>
        <v>-31.25</v>
      </c>
    </row>
    <row r="17" spans="1:6" x14ac:dyDescent="0.25">
      <c r="A17" t="s">
        <v>84</v>
      </c>
      <c r="B17">
        <v>16</v>
      </c>
      <c r="C17">
        <f>Prices!B17-25</f>
        <v>-25</v>
      </c>
      <c r="D17">
        <v>5</v>
      </c>
      <c r="E17" t="s">
        <v>85</v>
      </c>
      <c r="F17">
        <f t="shared" si="0"/>
        <v>-31.25</v>
      </c>
    </row>
    <row r="18" spans="1:6" x14ac:dyDescent="0.25">
      <c r="A18" t="s">
        <v>84</v>
      </c>
      <c r="B18">
        <v>17</v>
      </c>
      <c r="C18">
        <f>Prices!B18-25</f>
        <v>-25</v>
      </c>
      <c r="D18">
        <v>5</v>
      </c>
      <c r="E18" t="s">
        <v>85</v>
      </c>
      <c r="F18">
        <f t="shared" si="0"/>
        <v>-31.25</v>
      </c>
    </row>
    <row r="19" spans="1:6" x14ac:dyDescent="0.25">
      <c r="A19" t="s">
        <v>84</v>
      </c>
      <c r="B19">
        <v>18</v>
      </c>
      <c r="C19">
        <f>Prices!B19-25</f>
        <v>-25</v>
      </c>
      <c r="D19">
        <v>5</v>
      </c>
      <c r="E19" t="s">
        <v>85</v>
      </c>
      <c r="F19">
        <f t="shared" si="0"/>
        <v>-31.25</v>
      </c>
    </row>
    <row r="20" spans="1:6" x14ac:dyDescent="0.25">
      <c r="A20" t="s">
        <v>84</v>
      </c>
      <c r="B20">
        <v>19</v>
      </c>
      <c r="C20">
        <f>Prices!B20-25</f>
        <v>-25</v>
      </c>
      <c r="D20">
        <v>5</v>
      </c>
      <c r="E20" t="s">
        <v>85</v>
      </c>
      <c r="F20">
        <f t="shared" si="0"/>
        <v>-31.25</v>
      </c>
    </row>
    <row r="21" spans="1:6" x14ac:dyDescent="0.25">
      <c r="A21" t="s">
        <v>84</v>
      </c>
      <c r="B21">
        <v>20</v>
      </c>
      <c r="C21">
        <f>Prices!B21-25</f>
        <v>-25</v>
      </c>
      <c r="D21">
        <v>5</v>
      </c>
      <c r="E21" t="s">
        <v>85</v>
      </c>
      <c r="F21">
        <f t="shared" si="0"/>
        <v>-31.25</v>
      </c>
    </row>
    <row r="22" spans="1:6" x14ac:dyDescent="0.25">
      <c r="A22" t="s">
        <v>84</v>
      </c>
      <c r="B22">
        <v>21</v>
      </c>
      <c r="C22">
        <f>Prices!B22-25</f>
        <v>-25</v>
      </c>
      <c r="D22">
        <v>5</v>
      </c>
      <c r="E22" t="s">
        <v>85</v>
      </c>
      <c r="F22">
        <f t="shared" si="0"/>
        <v>-31.25</v>
      </c>
    </row>
    <row r="23" spans="1:6" x14ac:dyDescent="0.25">
      <c r="A23" t="s">
        <v>84</v>
      </c>
      <c r="B23">
        <v>22</v>
      </c>
      <c r="C23">
        <f>Prices!B23-25</f>
        <v>-25</v>
      </c>
      <c r="D23">
        <v>5</v>
      </c>
      <c r="E23" t="s">
        <v>85</v>
      </c>
      <c r="F23">
        <f t="shared" si="0"/>
        <v>-31.25</v>
      </c>
    </row>
    <row r="24" spans="1:6" x14ac:dyDescent="0.25">
      <c r="A24" t="s">
        <v>84</v>
      </c>
      <c r="B24">
        <v>23</v>
      </c>
      <c r="C24">
        <f>Prices!B24-25</f>
        <v>-25</v>
      </c>
      <c r="D24">
        <v>5</v>
      </c>
      <c r="E24" t="s">
        <v>85</v>
      </c>
      <c r="F24">
        <f t="shared" si="0"/>
        <v>-31.25</v>
      </c>
    </row>
    <row r="25" spans="1:6" x14ac:dyDescent="0.25">
      <c r="A25" t="s">
        <v>84</v>
      </c>
      <c r="B25">
        <v>24</v>
      </c>
      <c r="C25">
        <f>Prices!B25-25</f>
        <v>-25</v>
      </c>
      <c r="D25">
        <v>5</v>
      </c>
      <c r="E25" t="s">
        <v>85</v>
      </c>
      <c r="F25">
        <f t="shared" si="0"/>
        <v>-31.25</v>
      </c>
    </row>
    <row r="26" spans="1:6" x14ac:dyDescent="0.25">
      <c r="A26" t="s">
        <v>84</v>
      </c>
      <c r="B26">
        <v>25</v>
      </c>
      <c r="C26">
        <f>Prices!B26-25</f>
        <v>-25</v>
      </c>
      <c r="D26">
        <v>5</v>
      </c>
      <c r="E26" t="s">
        <v>85</v>
      </c>
      <c r="F26">
        <f t="shared" si="0"/>
        <v>-31.25</v>
      </c>
    </row>
    <row r="27" spans="1:6" x14ac:dyDescent="0.25">
      <c r="A27" t="s">
        <v>84</v>
      </c>
      <c r="B27">
        <v>26</v>
      </c>
      <c r="C27">
        <f>Prices!B27-25</f>
        <v>-25</v>
      </c>
      <c r="D27">
        <v>5</v>
      </c>
      <c r="E27" t="s">
        <v>85</v>
      </c>
      <c r="F27">
        <f t="shared" si="0"/>
        <v>-31.25</v>
      </c>
    </row>
    <row r="28" spans="1:6" x14ac:dyDescent="0.25">
      <c r="A28" t="s">
        <v>84</v>
      </c>
      <c r="B28">
        <v>27</v>
      </c>
      <c r="C28">
        <f>Prices!B28-25</f>
        <v>-25</v>
      </c>
      <c r="D28">
        <v>5</v>
      </c>
      <c r="E28" t="s">
        <v>85</v>
      </c>
      <c r="F28">
        <f t="shared" si="0"/>
        <v>-31.25</v>
      </c>
    </row>
    <row r="29" spans="1:6" x14ac:dyDescent="0.25">
      <c r="A29" t="s">
        <v>84</v>
      </c>
      <c r="B29">
        <v>28</v>
      </c>
      <c r="C29">
        <f>Prices!B29-25</f>
        <v>-25</v>
      </c>
      <c r="D29">
        <v>5</v>
      </c>
      <c r="E29" t="s">
        <v>85</v>
      </c>
      <c r="F29">
        <f t="shared" si="0"/>
        <v>-31.25</v>
      </c>
    </row>
    <row r="30" spans="1:6" x14ac:dyDescent="0.25">
      <c r="A30" t="s">
        <v>84</v>
      </c>
      <c r="B30">
        <v>29</v>
      </c>
      <c r="C30">
        <f>Prices!B30-25</f>
        <v>-25</v>
      </c>
      <c r="D30">
        <v>5</v>
      </c>
      <c r="E30" t="s">
        <v>85</v>
      </c>
      <c r="F30">
        <f t="shared" si="0"/>
        <v>-31.25</v>
      </c>
    </row>
    <row r="31" spans="1:6" x14ac:dyDescent="0.25">
      <c r="A31" t="s">
        <v>84</v>
      </c>
      <c r="B31">
        <v>30</v>
      </c>
      <c r="C31">
        <f>Prices!B31-25</f>
        <v>-25</v>
      </c>
      <c r="D31">
        <v>5</v>
      </c>
      <c r="E31" t="s">
        <v>85</v>
      </c>
      <c r="F31">
        <f t="shared" si="0"/>
        <v>-31.25</v>
      </c>
    </row>
    <row r="32" spans="1:6" x14ac:dyDescent="0.25">
      <c r="A32" t="s">
        <v>84</v>
      </c>
      <c r="B32">
        <v>31</v>
      </c>
      <c r="C32">
        <f>Prices!B32-25</f>
        <v>-25</v>
      </c>
      <c r="D32">
        <v>5</v>
      </c>
      <c r="E32" t="s">
        <v>85</v>
      </c>
      <c r="F32">
        <f t="shared" si="0"/>
        <v>-31.25</v>
      </c>
    </row>
    <row r="33" spans="1:6" x14ac:dyDescent="0.25">
      <c r="A33" t="s">
        <v>84</v>
      </c>
      <c r="B33">
        <v>32</v>
      </c>
      <c r="C33">
        <f>Prices!B33-25</f>
        <v>-25</v>
      </c>
      <c r="D33">
        <v>5</v>
      </c>
      <c r="E33" t="s">
        <v>85</v>
      </c>
      <c r="F33">
        <f t="shared" si="0"/>
        <v>-31.25</v>
      </c>
    </row>
    <row r="34" spans="1:6" x14ac:dyDescent="0.25">
      <c r="A34" t="s">
        <v>84</v>
      </c>
      <c r="B34">
        <v>33</v>
      </c>
      <c r="C34">
        <f>Prices!B34-25</f>
        <v>-25</v>
      </c>
      <c r="D34">
        <v>5</v>
      </c>
      <c r="E34" t="s">
        <v>85</v>
      </c>
      <c r="F34">
        <f t="shared" ref="F34:F65" si="1">C34*D34/4</f>
        <v>-31.25</v>
      </c>
    </row>
    <row r="35" spans="1:6" x14ac:dyDescent="0.25">
      <c r="A35" t="s">
        <v>84</v>
      </c>
      <c r="B35">
        <v>34</v>
      </c>
      <c r="C35">
        <f>Prices!B35-25</f>
        <v>-25</v>
      </c>
      <c r="D35">
        <v>5</v>
      </c>
      <c r="E35" t="s">
        <v>85</v>
      </c>
      <c r="F35">
        <f t="shared" si="1"/>
        <v>-31.25</v>
      </c>
    </row>
    <row r="36" spans="1:6" x14ac:dyDescent="0.25">
      <c r="A36" t="s">
        <v>84</v>
      </c>
      <c r="B36">
        <v>35</v>
      </c>
      <c r="C36">
        <f>Prices!B36-25</f>
        <v>-25</v>
      </c>
      <c r="D36">
        <v>5</v>
      </c>
      <c r="E36" t="s">
        <v>85</v>
      </c>
      <c r="F36">
        <f t="shared" si="1"/>
        <v>-31.25</v>
      </c>
    </row>
    <row r="37" spans="1:6" x14ac:dyDescent="0.25">
      <c r="A37" t="s">
        <v>84</v>
      </c>
      <c r="B37">
        <v>36</v>
      </c>
      <c r="C37">
        <f>Prices!B37-25</f>
        <v>-25</v>
      </c>
      <c r="D37">
        <v>5</v>
      </c>
      <c r="E37" t="s">
        <v>85</v>
      </c>
      <c r="F37">
        <f t="shared" si="1"/>
        <v>-31.25</v>
      </c>
    </row>
    <row r="38" spans="1:6" x14ac:dyDescent="0.25">
      <c r="A38" t="s">
        <v>84</v>
      </c>
      <c r="B38">
        <v>37</v>
      </c>
      <c r="C38">
        <f>Prices!B38-25</f>
        <v>-25</v>
      </c>
      <c r="D38">
        <v>5</v>
      </c>
      <c r="E38" t="s">
        <v>85</v>
      </c>
      <c r="F38">
        <f t="shared" si="1"/>
        <v>-31.25</v>
      </c>
    </row>
    <row r="39" spans="1:6" x14ac:dyDescent="0.25">
      <c r="A39" t="s">
        <v>84</v>
      </c>
      <c r="B39">
        <v>38</v>
      </c>
      <c r="C39">
        <f>Prices!B39-25</f>
        <v>-25</v>
      </c>
      <c r="D39">
        <v>5</v>
      </c>
      <c r="E39" t="s">
        <v>85</v>
      </c>
      <c r="F39">
        <f t="shared" si="1"/>
        <v>-31.25</v>
      </c>
    </row>
    <row r="40" spans="1:6" x14ac:dyDescent="0.25">
      <c r="A40" t="s">
        <v>84</v>
      </c>
      <c r="B40">
        <v>39</v>
      </c>
      <c r="C40">
        <f>Prices!B40-25</f>
        <v>-25</v>
      </c>
      <c r="D40">
        <v>5</v>
      </c>
      <c r="E40" t="s">
        <v>85</v>
      </c>
      <c r="F40">
        <f t="shared" si="1"/>
        <v>-31.25</v>
      </c>
    </row>
    <row r="41" spans="1:6" x14ac:dyDescent="0.25">
      <c r="A41" t="s">
        <v>84</v>
      </c>
      <c r="B41">
        <v>40</v>
      </c>
      <c r="C41">
        <f>Prices!B41-25</f>
        <v>-25</v>
      </c>
      <c r="D41">
        <v>5</v>
      </c>
      <c r="E41" t="s">
        <v>85</v>
      </c>
      <c r="F41">
        <f t="shared" si="1"/>
        <v>-31.25</v>
      </c>
    </row>
    <row r="42" spans="1:6" x14ac:dyDescent="0.25">
      <c r="A42" t="s">
        <v>84</v>
      </c>
      <c r="B42">
        <v>41</v>
      </c>
      <c r="C42">
        <f>Prices!B42-25</f>
        <v>-25</v>
      </c>
      <c r="D42">
        <v>5</v>
      </c>
      <c r="E42" t="s">
        <v>85</v>
      </c>
      <c r="F42">
        <f t="shared" si="1"/>
        <v>-31.25</v>
      </c>
    </row>
    <row r="43" spans="1:6" x14ac:dyDescent="0.25">
      <c r="A43" t="s">
        <v>84</v>
      </c>
      <c r="B43">
        <v>42</v>
      </c>
      <c r="C43">
        <f>Prices!B43-25</f>
        <v>-25</v>
      </c>
      <c r="D43">
        <v>5</v>
      </c>
      <c r="E43" t="s">
        <v>85</v>
      </c>
      <c r="F43">
        <f t="shared" si="1"/>
        <v>-31.25</v>
      </c>
    </row>
    <row r="44" spans="1:6" x14ac:dyDescent="0.25">
      <c r="A44" t="s">
        <v>84</v>
      </c>
      <c r="B44">
        <v>43</v>
      </c>
      <c r="C44">
        <f>Prices!B44-25</f>
        <v>-25</v>
      </c>
      <c r="D44">
        <v>5</v>
      </c>
      <c r="E44" t="s">
        <v>85</v>
      </c>
      <c r="F44">
        <f t="shared" si="1"/>
        <v>-31.25</v>
      </c>
    </row>
    <row r="45" spans="1:6" x14ac:dyDescent="0.25">
      <c r="A45" t="s">
        <v>84</v>
      </c>
      <c r="B45">
        <v>44</v>
      </c>
      <c r="C45">
        <f>Prices!B45-25</f>
        <v>-25</v>
      </c>
      <c r="D45">
        <v>5</v>
      </c>
      <c r="E45" t="s">
        <v>85</v>
      </c>
      <c r="F45">
        <f t="shared" si="1"/>
        <v>-31.25</v>
      </c>
    </row>
    <row r="46" spans="1:6" x14ac:dyDescent="0.25">
      <c r="A46" t="s">
        <v>84</v>
      </c>
      <c r="B46">
        <v>45</v>
      </c>
      <c r="C46">
        <f>Prices!B46-25</f>
        <v>-25</v>
      </c>
      <c r="D46">
        <v>5</v>
      </c>
      <c r="E46" t="s">
        <v>85</v>
      </c>
      <c r="F46">
        <f t="shared" si="1"/>
        <v>-31.25</v>
      </c>
    </row>
    <row r="47" spans="1:6" x14ac:dyDescent="0.25">
      <c r="A47" t="s">
        <v>84</v>
      </c>
      <c r="B47">
        <v>46</v>
      </c>
      <c r="C47">
        <f>Prices!B47-25</f>
        <v>-25</v>
      </c>
      <c r="D47">
        <v>5</v>
      </c>
      <c r="E47" t="s">
        <v>85</v>
      </c>
      <c r="F47">
        <f t="shared" si="1"/>
        <v>-31.25</v>
      </c>
    </row>
    <row r="48" spans="1:6" x14ac:dyDescent="0.25">
      <c r="A48" t="s">
        <v>84</v>
      </c>
      <c r="B48">
        <v>47</v>
      </c>
      <c r="C48">
        <f>Prices!B48-25</f>
        <v>-25</v>
      </c>
      <c r="D48">
        <v>5</v>
      </c>
      <c r="E48" t="s">
        <v>85</v>
      </c>
      <c r="F48">
        <f t="shared" si="1"/>
        <v>-31.25</v>
      </c>
    </row>
    <row r="49" spans="1:6" x14ac:dyDescent="0.25">
      <c r="A49" t="s">
        <v>84</v>
      </c>
      <c r="B49">
        <v>48</v>
      </c>
      <c r="C49">
        <f>Prices!B49-25</f>
        <v>-25</v>
      </c>
      <c r="D49">
        <v>5</v>
      </c>
      <c r="E49" t="s">
        <v>85</v>
      </c>
      <c r="F49">
        <f t="shared" si="1"/>
        <v>-31.25</v>
      </c>
    </row>
    <row r="50" spans="1:6" x14ac:dyDescent="0.25">
      <c r="A50" t="s">
        <v>84</v>
      </c>
      <c r="B50">
        <v>49</v>
      </c>
      <c r="C50">
        <f>Prices!B50-25</f>
        <v>-25</v>
      </c>
      <c r="D50">
        <v>5</v>
      </c>
      <c r="E50" t="s">
        <v>85</v>
      </c>
      <c r="F50">
        <f t="shared" si="1"/>
        <v>-31.25</v>
      </c>
    </row>
    <row r="51" spans="1:6" x14ac:dyDescent="0.25">
      <c r="A51" t="s">
        <v>84</v>
      </c>
      <c r="B51">
        <v>50</v>
      </c>
      <c r="C51">
        <f>Prices!B51-25</f>
        <v>-25</v>
      </c>
      <c r="D51">
        <v>5</v>
      </c>
      <c r="E51" t="s">
        <v>85</v>
      </c>
      <c r="F51">
        <f t="shared" si="1"/>
        <v>-31.25</v>
      </c>
    </row>
    <row r="52" spans="1:6" x14ac:dyDescent="0.25">
      <c r="A52" t="s">
        <v>84</v>
      </c>
      <c r="B52">
        <v>51</v>
      </c>
      <c r="C52">
        <f>Prices!B52-25</f>
        <v>-25</v>
      </c>
      <c r="D52">
        <v>5</v>
      </c>
      <c r="E52" t="s">
        <v>85</v>
      </c>
      <c r="F52">
        <f t="shared" si="1"/>
        <v>-31.25</v>
      </c>
    </row>
    <row r="53" spans="1:6" x14ac:dyDescent="0.25">
      <c r="A53" t="s">
        <v>84</v>
      </c>
      <c r="B53">
        <v>52</v>
      </c>
      <c r="C53">
        <f>Prices!B53-25</f>
        <v>-25</v>
      </c>
      <c r="D53">
        <v>5</v>
      </c>
      <c r="E53" t="s">
        <v>85</v>
      </c>
      <c r="F53">
        <f t="shared" si="1"/>
        <v>-31.25</v>
      </c>
    </row>
    <row r="54" spans="1:6" x14ac:dyDescent="0.25">
      <c r="A54" t="s">
        <v>84</v>
      </c>
      <c r="B54">
        <v>53</v>
      </c>
      <c r="C54">
        <f>Prices!B54-25</f>
        <v>-25</v>
      </c>
      <c r="D54">
        <v>5</v>
      </c>
      <c r="E54" t="s">
        <v>85</v>
      </c>
      <c r="F54">
        <f t="shared" si="1"/>
        <v>-31.25</v>
      </c>
    </row>
    <row r="55" spans="1:6" x14ac:dyDescent="0.25">
      <c r="A55" t="s">
        <v>84</v>
      </c>
      <c r="B55">
        <v>54</v>
      </c>
      <c r="C55">
        <f>Prices!B55-25</f>
        <v>-25</v>
      </c>
      <c r="D55">
        <v>5</v>
      </c>
      <c r="E55" t="s">
        <v>85</v>
      </c>
      <c r="F55">
        <f t="shared" si="1"/>
        <v>-31.25</v>
      </c>
    </row>
    <row r="56" spans="1:6" x14ac:dyDescent="0.25">
      <c r="A56" t="s">
        <v>84</v>
      </c>
      <c r="B56">
        <v>55</v>
      </c>
      <c r="C56">
        <f>Prices!B56-25</f>
        <v>-25</v>
      </c>
      <c r="D56">
        <v>5</v>
      </c>
      <c r="E56" t="s">
        <v>85</v>
      </c>
      <c r="F56">
        <f t="shared" si="1"/>
        <v>-31.25</v>
      </c>
    </row>
    <row r="57" spans="1:6" x14ac:dyDescent="0.25">
      <c r="A57" t="s">
        <v>84</v>
      </c>
      <c r="B57">
        <v>56</v>
      </c>
      <c r="C57">
        <f>Prices!B57-25</f>
        <v>-25</v>
      </c>
      <c r="D57">
        <v>5</v>
      </c>
      <c r="E57" t="s">
        <v>85</v>
      </c>
      <c r="F57">
        <f t="shared" si="1"/>
        <v>-31.25</v>
      </c>
    </row>
    <row r="58" spans="1:6" x14ac:dyDescent="0.25">
      <c r="A58" t="s">
        <v>84</v>
      </c>
      <c r="B58">
        <v>57</v>
      </c>
      <c r="C58">
        <f>Prices!B58-25</f>
        <v>-25</v>
      </c>
      <c r="D58">
        <v>5</v>
      </c>
      <c r="E58" t="s">
        <v>85</v>
      </c>
      <c r="F58">
        <f t="shared" si="1"/>
        <v>-31.25</v>
      </c>
    </row>
    <row r="59" spans="1:6" x14ac:dyDescent="0.25">
      <c r="A59" t="s">
        <v>84</v>
      </c>
      <c r="B59">
        <v>58</v>
      </c>
      <c r="C59">
        <f>Prices!B59-25</f>
        <v>-25</v>
      </c>
      <c r="D59">
        <v>5</v>
      </c>
      <c r="E59" t="s">
        <v>85</v>
      </c>
      <c r="F59">
        <f t="shared" si="1"/>
        <v>-31.25</v>
      </c>
    </row>
    <row r="60" spans="1:6" x14ac:dyDescent="0.25">
      <c r="A60" t="s">
        <v>84</v>
      </c>
      <c r="B60">
        <v>59</v>
      </c>
      <c r="C60">
        <f>Prices!B60-25</f>
        <v>-25</v>
      </c>
      <c r="D60">
        <v>5</v>
      </c>
      <c r="E60" t="s">
        <v>85</v>
      </c>
      <c r="F60">
        <f t="shared" si="1"/>
        <v>-31.25</v>
      </c>
    </row>
    <row r="61" spans="1:6" x14ac:dyDescent="0.25">
      <c r="A61" t="s">
        <v>84</v>
      </c>
      <c r="B61">
        <v>60</v>
      </c>
      <c r="C61">
        <f>Prices!B61-25</f>
        <v>-25</v>
      </c>
      <c r="D61">
        <v>5</v>
      </c>
      <c r="E61" t="s">
        <v>85</v>
      </c>
      <c r="F61">
        <f t="shared" si="1"/>
        <v>-31.25</v>
      </c>
    </row>
    <row r="62" spans="1:6" x14ac:dyDescent="0.25">
      <c r="A62" t="s">
        <v>84</v>
      </c>
      <c r="B62">
        <v>61</v>
      </c>
      <c r="C62">
        <f>Prices!B62-25</f>
        <v>-25</v>
      </c>
      <c r="D62">
        <v>5</v>
      </c>
      <c r="E62" t="s">
        <v>85</v>
      </c>
      <c r="F62">
        <f t="shared" si="1"/>
        <v>-31.25</v>
      </c>
    </row>
    <row r="63" spans="1:6" x14ac:dyDescent="0.25">
      <c r="A63" t="s">
        <v>84</v>
      </c>
      <c r="B63">
        <v>62</v>
      </c>
      <c r="C63">
        <f>Prices!B63-25</f>
        <v>-25</v>
      </c>
      <c r="D63">
        <v>5</v>
      </c>
      <c r="E63" t="s">
        <v>85</v>
      </c>
      <c r="F63">
        <f t="shared" si="1"/>
        <v>-31.25</v>
      </c>
    </row>
    <row r="64" spans="1:6" x14ac:dyDescent="0.25">
      <c r="A64" t="s">
        <v>84</v>
      </c>
      <c r="B64">
        <v>63</v>
      </c>
      <c r="C64">
        <f>Prices!B64-25</f>
        <v>-25</v>
      </c>
      <c r="D64">
        <v>5</v>
      </c>
      <c r="E64" t="s">
        <v>85</v>
      </c>
      <c r="F64">
        <f t="shared" si="1"/>
        <v>-31.25</v>
      </c>
    </row>
    <row r="65" spans="1:6" x14ac:dyDescent="0.25">
      <c r="A65" t="s">
        <v>84</v>
      </c>
      <c r="B65">
        <v>64</v>
      </c>
      <c r="C65">
        <f>Prices!B65-25</f>
        <v>-25</v>
      </c>
      <c r="D65">
        <v>5</v>
      </c>
      <c r="E65" t="s">
        <v>85</v>
      </c>
      <c r="F65">
        <f t="shared" si="1"/>
        <v>-31.25</v>
      </c>
    </row>
    <row r="66" spans="1:6" x14ac:dyDescent="0.25">
      <c r="A66" t="s">
        <v>84</v>
      </c>
      <c r="B66">
        <v>65</v>
      </c>
      <c r="C66">
        <f>Prices!B66-25</f>
        <v>-25</v>
      </c>
      <c r="D66">
        <v>5</v>
      </c>
      <c r="E66" t="s">
        <v>85</v>
      </c>
      <c r="F66">
        <f t="shared" ref="F66:F97" si="2">C66*D66/4</f>
        <v>-31.25</v>
      </c>
    </row>
    <row r="67" spans="1:6" x14ac:dyDescent="0.25">
      <c r="A67" t="s">
        <v>84</v>
      </c>
      <c r="B67">
        <v>66</v>
      </c>
      <c r="C67">
        <f>Prices!B67-25</f>
        <v>-25</v>
      </c>
      <c r="D67">
        <v>5</v>
      </c>
      <c r="E67" t="s">
        <v>85</v>
      </c>
      <c r="F67">
        <f t="shared" si="2"/>
        <v>-31.25</v>
      </c>
    </row>
    <row r="68" spans="1:6" x14ac:dyDescent="0.25">
      <c r="A68" t="s">
        <v>84</v>
      </c>
      <c r="B68">
        <v>67</v>
      </c>
      <c r="C68">
        <f>Prices!B68-25</f>
        <v>-25</v>
      </c>
      <c r="D68">
        <v>5</v>
      </c>
      <c r="E68" t="s">
        <v>85</v>
      </c>
      <c r="F68">
        <f t="shared" si="2"/>
        <v>-31.25</v>
      </c>
    </row>
    <row r="69" spans="1:6" x14ac:dyDescent="0.25">
      <c r="A69" t="s">
        <v>84</v>
      </c>
      <c r="B69">
        <v>68</v>
      </c>
      <c r="C69">
        <f>Prices!B69-25</f>
        <v>-25</v>
      </c>
      <c r="D69">
        <v>5</v>
      </c>
      <c r="E69" t="s">
        <v>85</v>
      </c>
      <c r="F69">
        <f t="shared" si="2"/>
        <v>-31.25</v>
      </c>
    </row>
    <row r="70" spans="1:6" x14ac:dyDescent="0.25">
      <c r="A70" t="s">
        <v>84</v>
      </c>
      <c r="B70">
        <v>69</v>
      </c>
      <c r="C70">
        <f>Prices!B70-25</f>
        <v>-25</v>
      </c>
      <c r="D70">
        <v>5</v>
      </c>
      <c r="E70" t="s">
        <v>85</v>
      </c>
      <c r="F70">
        <f t="shared" si="2"/>
        <v>-31.25</v>
      </c>
    </row>
    <row r="71" spans="1:6" x14ac:dyDescent="0.25">
      <c r="A71" t="s">
        <v>84</v>
      </c>
      <c r="B71">
        <v>70</v>
      </c>
      <c r="C71">
        <f>Prices!B71-25</f>
        <v>-25</v>
      </c>
      <c r="D71">
        <v>5</v>
      </c>
      <c r="E71" t="s">
        <v>85</v>
      </c>
      <c r="F71">
        <f t="shared" si="2"/>
        <v>-31.25</v>
      </c>
    </row>
    <row r="72" spans="1:6" x14ac:dyDescent="0.25">
      <c r="A72" t="s">
        <v>84</v>
      </c>
      <c r="B72">
        <v>71</v>
      </c>
      <c r="C72">
        <f>Prices!B72-25</f>
        <v>-25</v>
      </c>
      <c r="D72">
        <v>5</v>
      </c>
      <c r="E72" t="s">
        <v>85</v>
      </c>
      <c r="F72">
        <f t="shared" si="2"/>
        <v>-31.25</v>
      </c>
    </row>
    <row r="73" spans="1:6" x14ac:dyDescent="0.25">
      <c r="A73" t="s">
        <v>84</v>
      </c>
      <c r="B73">
        <v>72</v>
      </c>
      <c r="C73">
        <f>Prices!B73-25</f>
        <v>-25</v>
      </c>
      <c r="D73">
        <v>5</v>
      </c>
      <c r="E73" t="s">
        <v>85</v>
      </c>
      <c r="F73">
        <f t="shared" si="2"/>
        <v>-31.25</v>
      </c>
    </row>
    <row r="74" spans="1:6" x14ac:dyDescent="0.25">
      <c r="A74" t="s">
        <v>84</v>
      </c>
      <c r="B74">
        <v>73</v>
      </c>
      <c r="C74">
        <f>Prices!B74-25</f>
        <v>-25</v>
      </c>
      <c r="D74">
        <v>5</v>
      </c>
      <c r="E74" t="s">
        <v>85</v>
      </c>
      <c r="F74">
        <f t="shared" si="2"/>
        <v>-31.25</v>
      </c>
    </row>
    <row r="75" spans="1:6" x14ac:dyDescent="0.25">
      <c r="A75" t="s">
        <v>84</v>
      </c>
      <c r="B75">
        <v>74</v>
      </c>
      <c r="C75">
        <f>Prices!B75-25</f>
        <v>-25</v>
      </c>
      <c r="D75">
        <v>5</v>
      </c>
      <c r="E75" t="s">
        <v>85</v>
      </c>
      <c r="F75">
        <f t="shared" si="2"/>
        <v>-31.25</v>
      </c>
    </row>
    <row r="76" spans="1:6" x14ac:dyDescent="0.25">
      <c r="A76" t="s">
        <v>84</v>
      </c>
      <c r="B76">
        <v>75</v>
      </c>
      <c r="C76">
        <f>Prices!B76-25</f>
        <v>-25</v>
      </c>
      <c r="D76">
        <v>5</v>
      </c>
      <c r="E76" t="s">
        <v>85</v>
      </c>
      <c r="F76">
        <f t="shared" si="2"/>
        <v>-31.25</v>
      </c>
    </row>
    <row r="77" spans="1:6" x14ac:dyDescent="0.25">
      <c r="A77" t="s">
        <v>84</v>
      </c>
      <c r="B77">
        <v>76</v>
      </c>
      <c r="C77">
        <f>Prices!B77-25</f>
        <v>-25</v>
      </c>
      <c r="D77">
        <v>5</v>
      </c>
      <c r="E77" t="s">
        <v>85</v>
      </c>
      <c r="F77">
        <f t="shared" si="2"/>
        <v>-31.25</v>
      </c>
    </row>
    <row r="78" spans="1:6" x14ac:dyDescent="0.25">
      <c r="A78" t="s">
        <v>84</v>
      </c>
      <c r="B78">
        <v>77</v>
      </c>
      <c r="C78">
        <f>Prices!B78-25</f>
        <v>-25</v>
      </c>
      <c r="D78">
        <v>5</v>
      </c>
      <c r="E78" t="s">
        <v>85</v>
      </c>
      <c r="F78">
        <f t="shared" si="2"/>
        <v>-31.25</v>
      </c>
    </row>
    <row r="79" spans="1:6" x14ac:dyDescent="0.25">
      <c r="A79" t="s">
        <v>84</v>
      </c>
      <c r="B79">
        <v>78</v>
      </c>
      <c r="C79">
        <f>Prices!B79-25</f>
        <v>-25</v>
      </c>
      <c r="D79">
        <v>5</v>
      </c>
      <c r="E79" t="s">
        <v>85</v>
      </c>
      <c r="F79">
        <f t="shared" si="2"/>
        <v>-31.25</v>
      </c>
    </row>
    <row r="80" spans="1:6" x14ac:dyDescent="0.25">
      <c r="A80" t="s">
        <v>84</v>
      </c>
      <c r="B80">
        <v>79</v>
      </c>
      <c r="C80">
        <f>Prices!B80-25</f>
        <v>-25</v>
      </c>
      <c r="D80">
        <v>5</v>
      </c>
      <c r="E80" t="s">
        <v>85</v>
      </c>
      <c r="F80">
        <f t="shared" si="2"/>
        <v>-31.25</v>
      </c>
    </row>
    <row r="81" spans="1:6" x14ac:dyDescent="0.25">
      <c r="A81" t="s">
        <v>84</v>
      </c>
      <c r="B81">
        <v>80</v>
      </c>
      <c r="C81">
        <f>Prices!B81-25</f>
        <v>-25</v>
      </c>
      <c r="D81">
        <v>5</v>
      </c>
      <c r="E81" t="s">
        <v>85</v>
      </c>
      <c r="F81">
        <f t="shared" si="2"/>
        <v>-31.25</v>
      </c>
    </row>
    <row r="82" spans="1:6" x14ac:dyDescent="0.25">
      <c r="A82" t="s">
        <v>84</v>
      </c>
      <c r="B82">
        <v>81</v>
      </c>
      <c r="C82">
        <f>Prices!B82-25</f>
        <v>-25</v>
      </c>
      <c r="D82">
        <v>5</v>
      </c>
      <c r="E82" t="s">
        <v>85</v>
      </c>
      <c r="F82">
        <f t="shared" si="2"/>
        <v>-31.25</v>
      </c>
    </row>
    <row r="83" spans="1:6" x14ac:dyDescent="0.25">
      <c r="A83" t="s">
        <v>84</v>
      </c>
      <c r="B83">
        <v>82</v>
      </c>
      <c r="C83">
        <f>Prices!B83-25</f>
        <v>-25</v>
      </c>
      <c r="D83">
        <v>5</v>
      </c>
      <c r="E83" t="s">
        <v>85</v>
      </c>
      <c r="F83">
        <f t="shared" si="2"/>
        <v>-31.25</v>
      </c>
    </row>
    <row r="84" spans="1:6" x14ac:dyDescent="0.25">
      <c r="A84" t="s">
        <v>84</v>
      </c>
      <c r="B84">
        <v>83</v>
      </c>
      <c r="C84">
        <f>Prices!B84-25</f>
        <v>-25</v>
      </c>
      <c r="D84">
        <v>5</v>
      </c>
      <c r="E84" t="s">
        <v>85</v>
      </c>
      <c r="F84">
        <f t="shared" si="2"/>
        <v>-31.25</v>
      </c>
    </row>
    <row r="85" spans="1:6" x14ac:dyDescent="0.25">
      <c r="A85" t="s">
        <v>84</v>
      </c>
      <c r="B85">
        <v>84</v>
      </c>
      <c r="C85">
        <f>Prices!B85-25</f>
        <v>-25</v>
      </c>
      <c r="D85">
        <v>5</v>
      </c>
      <c r="E85" t="s">
        <v>85</v>
      </c>
      <c r="F85">
        <f t="shared" si="2"/>
        <v>-31.25</v>
      </c>
    </row>
    <row r="86" spans="1:6" x14ac:dyDescent="0.25">
      <c r="A86" t="s">
        <v>84</v>
      </c>
      <c r="B86">
        <v>85</v>
      </c>
      <c r="C86">
        <f>Prices!B86-25</f>
        <v>-25</v>
      </c>
      <c r="D86">
        <v>5</v>
      </c>
      <c r="E86" t="s">
        <v>85</v>
      </c>
      <c r="F86">
        <f t="shared" si="2"/>
        <v>-31.25</v>
      </c>
    </row>
    <row r="87" spans="1:6" x14ac:dyDescent="0.25">
      <c r="A87" t="s">
        <v>84</v>
      </c>
      <c r="B87">
        <v>86</v>
      </c>
      <c r="C87">
        <f>Prices!B87-25</f>
        <v>-25</v>
      </c>
      <c r="D87">
        <v>5</v>
      </c>
      <c r="E87" t="s">
        <v>85</v>
      </c>
      <c r="F87">
        <f t="shared" si="2"/>
        <v>-31.25</v>
      </c>
    </row>
    <row r="88" spans="1:6" x14ac:dyDescent="0.25">
      <c r="A88" t="s">
        <v>84</v>
      </c>
      <c r="B88">
        <v>87</v>
      </c>
      <c r="C88">
        <f>Prices!B88-25</f>
        <v>-25</v>
      </c>
      <c r="D88">
        <v>5</v>
      </c>
      <c r="E88" t="s">
        <v>85</v>
      </c>
      <c r="F88">
        <f t="shared" si="2"/>
        <v>-31.25</v>
      </c>
    </row>
    <row r="89" spans="1:6" x14ac:dyDescent="0.25">
      <c r="A89" t="s">
        <v>84</v>
      </c>
      <c r="B89">
        <v>88</v>
      </c>
      <c r="C89">
        <f>Prices!B89-25</f>
        <v>-25</v>
      </c>
      <c r="D89">
        <v>5</v>
      </c>
      <c r="E89" t="s">
        <v>85</v>
      </c>
      <c r="F89">
        <f t="shared" si="2"/>
        <v>-31.25</v>
      </c>
    </row>
    <row r="90" spans="1:6" x14ac:dyDescent="0.25">
      <c r="A90" t="s">
        <v>84</v>
      </c>
      <c r="B90">
        <v>89</v>
      </c>
      <c r="C90">
        <f>Prices!B90-25</f>
        <v>-25</v>
      </c>
      <c r="D90">
        <v>5</v>
      </c>
      <c r="E90" t="s">
        <v>85</v>
      </c>
      <c r="F90">
        <f t="shared" si="2"/>
        <v>-31.25</v>
      </c>
    </row>
    <row r="91" spans="1:6" x14ac:dyDescent="0.25">
      <c r="A91" t="s">
        <v>84</v>
      </c>
      <c r="B91">
        <v>90</v>
      </c>
      <c r="C91">
        <f>Prices!B91-25</f>
        <v>-25</v>
      </c>
      <c r="D91">
        <v>5</v>
      </c>
      <c r="E91" t="s">
        <v>85</v>
      </c>
      <c r="F91">
        <f t="shared" si="2"/>
        <v>-31.25</v>
      </c>
    </row>
    <row r="92" spans="1:6" x14ac:dyDescent="0.25">
      <c r="A92" t="s">
        <v>84</v>
      </c>
      <c r="B92">
        <v>91</v>
      </c>
      <c r="C92">
        <f>Prices!B92-25</f>
        <v>-25</v>
      </c>
      <c r="D92">
        <v>5</v>
      </c>
      <c r="E92" t="s">
        <v>85</v>
      </c>
      <c r="F92">
        <f t="shared" si="2"/>
        <v>-31.25</v>
      </c>
    </row>
    <row r="93" spans="1:6" x14ac:dyDescent="0.25">
      <c r="A93" t="s">
        <v>84</v>
      </c>
      <c r="B93">
        <v>92</v>
      </c>
      <c r="C93">
        <f>Prices!B93-25</f>
        <v>-25</v>
      </c>
      <c r="D93">
        <v>5</v>
      </c>
      <c r="E93" t="s">
        <v>85</v>
      </c>
      <c r="F93">
        <f t="shared" si="2"/>
        <v>-31.25</v>
      </c>
    </row>
    <row r="94" spans="1:6" x14ac:dyDescent="0.25">
      <c r="A94" t="s">
        <v>84</v>
      </c>
      <c r="B94">
        <v>93</v>
      </c>
      <c r="C94">
        <f>Prices!B94-25</f>
        <v>-25</v>
      </c>
      <c r="D94">
        <v>5</v>
      </c>
      <c r="E94" t="s">
        <v>85</v>
      </c>
      <c r="F94">
        <f t="shared" si="2"/>
        <v>-31.25</v>
      </c>
    </row>
    <row r="95" spans="1:6" x14ac:dyDescent="0.25">
      <c r="A95" t="s">
        <v>84</v>
      </c>
      <c r="B95">
        <v>94</v>
      </c>
      <c r="C95">
        <f>Prices!B95-25</f>
        <v>-25</v>
      </c>
      <c r="D95">
        <v>5</v>
      </c>
      <c r="E95" t="s">
        <v>85</v>
      </c>
      <c r="F95">
        <f t="shared" si="2"/>
        <v>-31.25</v>
      </c>
    </row>
    <row r="96" spans="1:6" x14ac:dyDescent="0.25">
      <c r="A96" t="s">
        <v>84</v>
      </c>
      <c r="B96">
        <v>95</v>
      </c>
      <c r="C96">
        <f>Prices!B96-25</f>
        <v>-25</v>
      </c>
      <c r="D96">
        <v>5</v>
      </c>
      <c r="E96" t="s">
        <v>85</v>
      </c>
      <c r="F96">
        <f t="shared" si="2"/>
        <v>-31.25</v>
      </c>
    </row>
    <row r="97" spans="1:6" x14ac:dyDescent="0.25">
      <c r="A97" t="s">
        <v>84</v>
      </c>
      <c r="B97">
        <v>96</v>
      </c>
      <c r="C97">
        <f>Prices!B97-25</f>
        <v>-25</v>
      </c>
      <c r="D97">
        <v>5</v>
      </c>
      <c r="E97" t="s">
        <v>85</v>
      </c>
      <c r="F97">
        <f t="shared" si="2"/>
        <v>-31.25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1:F97"/>
  <sheetViews>
    <sheetView workbookViewId="0">
      <selection activeCell="L8" sqref="L8:L9"/>
    </sheetView>
  </sheetViews>
  <sheetFormatPr defaultColWidth="9" defaultRowHeight="15" x14ac:dyDescent="0.25"/>
  <cols>
    <col min="1" max="1" width="9.140625" bestFit="1" customWidth="1"/>
    <col min="2" max="2" width="7.5703125" bestFit="1" customWidth="1"/>
    <col min="3" max="3" width="6" bestFit="1" customWidth="1"/>
    <col min="4" max="4" width="4.42578125" bestFit="1" customWidth="1"/>
    <col min="5" max="5" width="6.85546875" bestFit="1" customWidth="1"/>
  </cols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Prices!C2-8.5</f>
        <v>-8.5</v>
      </c>
      <c r="D2" s="13">
        <v>0</v>
      </c>
      <c r="E2" t="s">
        <v>85</v>
      </c>
      <c r="F2">
        <f t="shared" ref="F2:F33" si="0">C2*D2/4</f>
        <v>0</v>
      </c>
    </row>
    <row r="3" spans="1:6" x14ac:dyDescent="0.25">
      <c r="A3" t="s">
        <v>84</v>
      </c>
      <c r="B3">
        <v>2</v>
      </c>
      <c r="C3">
        <f>Prices!C3-8.5</f>
        <v>-8.5</v>
      </c>
      <c r="D3" s="13">
        <v>0</v>
      </c>
      <c r="E3" t="s">
        <v>85</v>
      </c>
      <c r="F3">
        <f t="shared" si="0"/>
        <v>0</v>
      </c>
    </row>
    <row r="4" spans="1:6" x14ac:dyDescent="0.25">
      <c r="A4" t="s">
        <v>84</v>
      </c>
      <c r="B4">
        <v>3</v>
      </c>
      <c r="C4">
        <f>Prices!C4-8.5</f>
        <v>-8.5</v>
      </c>
      <c r="D4" s="13">
        <v>0</v>
      </c>
      <c r="E4" t="s">
        <v>85</v>
      </c>
      <c r="F4">
        <f t="shared" si="0"/>
        <v>0</v>
      </c>
    </row>
    <row r="5" spans="1:6" x14ac:dyDescent="0.25">
      <c r="A5" t="s">
        <v>84</v>
      </c>
      <c r="B5">
        <v>4</v>
      </c>
      <c r="C5">
        <f>Prices!C5-8.5</f>
        <v>-8.5</v>
      </c>
      <c r="D5" s="13">
        <v>0</v>
      </c>
      <c r="E5" t="s">
        <v>85</v>
      </c>
      <c r="F5">
        <f t="shared" si="0"/>
        <v>0</v>
      </c>
    </row>
    <row r="6" spans="1:6" x14ac:dyDescent="0.25">
      <c r="A6" t="s">
        <v>84</v>
      </c>
      <c r="B6">
        <v>5</v>
      </c>
      <c r="C6">
        <f>Prices!C6-8.5</f>
        <v>-8.5</v>
      </c>
      <c r="D6" s="13">
        <v>0</v>
      </c>
      <c r="E6" t="s">
        <v>85</v>
      </c>
      <c r="F6">
        <f t="shared" si="0"/>
        <v>0</v>
      </c>
    </row>
    <row r="7" spans="1:6" x14ac:dyDescent="0.25">
      <c r="A7" t="s">
        <v>84</v>
      </c>
      <c r="B7">
        <v>6</v>
      </c>
      <c r="C7">
        <f>Prices!C7-8.5</f>
        <v>-8.5</v>
      </c>
      <c r="D7" s="13">
        <v>0</v>
      </c>
      <c r="E7" t="s">
        <v>85</v>
      </c>
      <c r="F7">
        <f t="shared" si="0"/>
        <v>0</v>
      </c>
    </row>
    <row r="8" spans="1:6" x14ac:dyDescent="0.25">
      <c r="A8" t="s">
        <v>84</v>
      </c>
      <c r="B8">
        <v>7</v>
      </c>
      <c r="C8">
        <f>Prices!C8-8.5</f>
        <v>-8.5</v>
      </c>
      <c r="D8" s="13">
        <v>0</v>
      </c>
      <c r="E8" t="s">
        <v>85</v>
      </c>
      <c r="F8">
        <f t="shared" si="0"/>
        <v>0</v>
      </c>
    </row>
    <row r="9" spans="1:6" x14ac:dyDescent="0.25">
      <c r="A9" t="s">
        <v>84</v>
      </c>
      <c r="B9">
        <v>8</v>
      </c>
      <c r="C9">
        <f>Prices!C9-8.5</f>
        <v>-8.5</v>
      </c>
      <c r="D9" s="13">
        <v>0</v>
      </c>
      <c r="E9" t="s">
        <v>85</v>
      </c>
      <c r="F9">
        <f t="shared" si="0"/>
        <v>0</v>
      </c>
    </row>
    <row r="10" spans="1:6" x14ac:dyDescent="0.25">
      <c r="A10" t="s">
        <v>84</v>
      </c>
      <c r="B10">
        <v>9</v>
      </c>
      <c r="C10">
        <f>Prices!C10-8.5</f>
        <v>-8.5</v>
      </c>
      <c r="D10" s="13">
        <v>0</v>
      </c>
      <c r="E10" t="s">
        <v>85</v>
      </c>
      <c r="F10">
        <f t="shared" si="0"/>
        <v>0</v>
      </c>
    </row>
    <row r="11" spans="1:6" x14ac:dyDescent="0.25">
      <c r="A11" t="s">
        <v>84</v>
      </c>
      <c r="B11">
        <v>10</v>
      </c>
      <c r="C11">
        <f>Prices!C11-8.5</f>
        <v>-8.5</v>
      </c>
      <c r="D11" s="13">
        <v>0</v>
      </c>
      <c r="E11" t="s">
        <v>85</v>
      </c>
      <c r="F11">
        <f t="shared" si="0"/>
        <v>0</v>
      </c>
    </row>
    <row r="12" spans="1:6" x14ac:dyDescent="0.25">
      <c r="A12" t="s">
        <v>84</v>
      </c>
      <c r="B12">
        <v>11</v>
      </c>
      <c r="C12">
        <f>Prices!C12-8.5</f>
        <v>-8.5</v>
      </c>
      <c r="D12" s="13">
        <v>0</v>
      </c>
      <c r="E12" t="s">
        <v>85</v>
      </c>
      <c r="F12">
        <f t="shared" si="0"/>
        <v>0</v>
      </c>
    </row>
    <row r="13" spans="1:6" x14ac:dyDescent="0.25">
      <c r="A13" t="s">
        <v>84</v>
      </c>
      <c r="B13">
        <v>12</v>
      </c>
      <c r="C13">
        <f>Prices!C13-8.5</f>
        <v>-8.5</v>
      </c>
      <c r="D13" s="13">
        <v>0</v>
      </c>
      <c r="E13" t="s">
        <v>85</v>
      </c>
      <c r="F13">
        <f t="shared" si="0"/>
        <v>0</v>
      </c>
    </row>
    <row r="14" spans="1:6" x14ac:dyDescent="0.25">
      <c r="A14" t="s">
        <v>84</v>
      </c>
      <c r="B14">
        <v>13</v>
      </c>
      <c r="C14">
        <f>Prices!C14-8.5</f>
        <v>-8.5</v>
      </c>
      <c r="D14" s="13">
        <v>0</v>
      </c>
      <c r="E14" t="s">
        <v>85</v>
      </c>
      <c r="F14">
        <f t="shared" si="0"/>
        <v>0</v>
      </c>
    </row>
    <row r="15" spans="1:6" x14ac:dyDescent="0.25">
      <c r="A15" t="s">
        <v>84</v>
      </c>
      <c r="B15">
        <v>14</v>
      </c>
      <c r="C15">
        <f>Prices!C15-8.5</f>
        <v>-8.5</v>
      </c>
      <c r="D15" s="13">
        <v>0</v>
      </c>
      <c r="E15" t="s">
        <v>85</v>
      </c>
      <c r="F15">
        <f t="shared" si="0"/>
        <v>0</v>
      </c>
    </row>
    <row r="16" spans="1:6" x14ac:dyDescent="0.25">
      <c r="A16" t="s">
        <v>84</v>
      </c>
      <c r="B16">
        <v>15</v>
      </c>
      <c r="C16">
        <f>Prices!C16-8.5</f>
        <v>-8.5</v>
      </c>
      <c r="D16" s="13">
        <v>0</v>
      </c>
      <c r="E16" t="s">
        <v>85</v>
      </c>
      <c r="F16">
        <f t="shared" si="0"/>
        <v>0</v>
      </c>
    </row>
    <row r="17" spans="1:6" x14ac:dyDescent="0.25">
      <c r="A17" t="s">
        <v>84</v>
      </c>
      <c r="B17">
        <v>16</v>
      </c>
      <c r="C17">
        <f>Prices!C17-8.5</f>
        <v>-8.5</v>
      </c>
      <c r="D17" s="13">
        <v>0</v>
      </c>
      <c r="E17" t="s">
        <v>85</v>
      </c>
      <c r="F17">
        <f t="shared" si="0"/>
        <v>0</v>
      </c>
    </row>
    <row r="18" spans="1:6" x14ac:dyDescent="0.25">
      <c r="A18" t="s">
        <v>84</v>
      </c>
      <c r="B18">
        <v>17</v>
      </c>
      <c r="C18">
        <f>Prices!C18-8.5</f>
        <v>-8.5</v>
      </c>
      <c r="D18" s="13">
        <v>0</v>
      </c>
      <c r="E18" t="s">
        <v>85</v>
      </c>
      <c r="F18">
        <f t="shared" si="0"/>
        <v>0</v>
      </c>
    </row>
    <row r="19" spans="1:6" x14ac:dyDescent="0.25">
      <c r="A19" t="s">
        <v>84</v>
      </c>
      <c r="B19">
        <v>18</v>
      </c>
      <c r="C19">
        <f>Prices!C19-8.5</f>
        <v>-8.5</v>
      </c>
      <c r="D19" s="13">
        <v>0</v>
      </c>
      <c r="E19" t="s">
        <v>85</v>
      </c>
      <c r="F19">
        <f t="shared" si="0"/>
        <v>0</v>
      </c>
    </row>
    <row r="20" spans="1:6" x14ac:dyDescent="0.25">
      <c r="A20" t="s">
        <v>84</v>
      </c>
      <c r="B20">
        <v>19</v>
      </c>
      <c r="C20">
        <f>Prices!C20-8.5</f>
        <v>-8.5</v>
      </c>
      <c r="D20" s="13">
        <v>0</v>
      </c>
      <c r="E20" t="s">
        <v>85</v>
      </c>
      <c r="F20">
        <f t="shared" si="0"/>
        <v>0</v>
      </c>
    </row>
    <row r="21" spans="1:6" x14ac:dyDescent="0.25">
      <c r="A21" t="s">
        <v>84</v>
      </c>
      <c r="B21">
        <v>20</v>
      </c>
      <c r="C21">
        <f>Prices!C21-8.5</f>
        <v>-8.5</v>
      </c>
      <c r="D21" s="13">
        <v>0</v>
      </c>
      <c r="E21" t="s">
        <v>85</v>
      </c>
      <c r="F21">
        <f t="shared" si="0"/>
        <v>0</v>
      </c>
    </row>
    <row r="22" spans="1:6" x14ac:dyDescent="0.25">
      <c r="A22" t="s">
        <v>84</v>
      </c>
      <c r="B22">
        <v>21</v>
      </c>
      <c r="C22">
        <f>Prices!C22-8.5</f>
        <v>-8.5</v>
      </c>
      <c r="D22" s="13">
        <v>0</v>
      </c>
      <c r="E22" t="s">
        <v>85</v>
      </c>
      <c r="F22">
        <f t="shared" si="0"/>
        <v>0</v>
      </c>
    </row>
    <row r="23" spans="1:6" x14ac:dyDescent="0.25">
      <c r="A23" t="s">
        <v>84</v>
      </c>
      <c r="B23">
        <v>22</v>
      </c>
      <c r="C23">
        <f>Prices!C23-8.5</f>
        <v>-8.5</v>
      </c>
      <c r="D23" s="13">
        <v>0</v>
      </c>
      <c r="E23" t="s">
        <v>85</v>
      </c>
      <c r="F23">
        <f t="shared" si="0"/>
        <v>0</v>
      </c>
    </row>
    <row r="24" spans="1:6" x14ac:dyDescent="0.25">
      <c r="A24" t="s">
        <v>84</v>
      </c>
      <c r="B24">
        <v>23</v>
      </c>
      <c r="C24">
        <f>Prices!C24-8.5</f>
        <v>-8.5</v>
      </c>
      <c r="D24" s="13">
        <v>0</v>
      </c>
      <c r="E24" t="s">
        <v>85</v>
      </c>
      <c r="F24">
        <f t="shared" si="0"/>
        <v>0</v>
      </c>
    </row>
    <row r="25" spans="1:6" x14ac:dyDescent="0.25">
      <c r="A25" t="s">
        <v>84</v>
      </c>
      <c r="B25">
        <v>24</v>
      </c>
      <c r="C25">
        <f>Prices!C25-8.5</f>
        <v>-8.5</v>
      </c>
      <c r="D25" s="13">
        <v>0</v>
      </c>
      <c r="E25" t="s">
        <v>85</v>
      </c>
      <c r="F25">
        <f t="shared" si="0"/>
        <v>0</v>
      </c>
    </row>
    <row r="26" spans="1:6" x14ac:dyDescent="0.25">
      <c r="A26" t="s">
        <v>84</v>
      </c>
      <c r="B26">
        <v>25</v>
      </c>
      <c r="C26">
        <f>Prices!C26-8.5</f>
        <v>-8.5</v>
      </c>
      <c r="D26" s="13">
        <v>0</v>
      </c>
      <c r="E26" t="s">
        <v>85</v>
      </c>
      <c r="F26">
        <f t="shared" si="0"/>
        <v>0</v>
      </c>
    </row>
    <row r="27" spans="1:6" x14ac:dyDescent="0.25">
      <c r="A27" t="s">
        <v>84</v>
      </c>
      <c r="B27">
        <v>26</v>
      </c>
      <c r="C27">
        <f>Prices!C27-8.5</f>
        <v>-8.5</v>
      </c>
      <c r="D27" s="13">
        <v>0</v>
      </c>
      <c r="E27" t="s">
        <v>85</v>
      </c>
      <c r="F27">
        <f t="shared" si="0"/>
        <v>0</v>
      </c>
    </row>
    <row r="28" spans="1:6" x14ac:dyDescent="0.25">
      <c r="A28" t="s">
        <v>84</v>
      </c>
      <c r="B28">
        <v>27</v>
      </c>
      <c r="C28">
        <f>Prices!C28-8.5</f>
        <v>-8.5</v>
      </c>
      <c r="D28" s="13">
        <v>0</v>
      </c>
      <c r="E28" t="s">
        <v>85</v>
      </c>
      <c r="F28">
        <f t="shared" si="0"/>
        <v>0</v>
      </c>
    </row>
    <row r="29" spans="1:6" x14ac:dyDescent="0.25">
      <c r="A29" t="s">
        <v>84</v>
      </c>
      <c r="B29">
        <v>28</v>
      </c>
      <c r="C29">
        <f>Prices!C29-8.5</f>
        <v>-8.5</v>
      </c>
      <c r="D29" s="13">
        <v>0</v>
      </c>
      <c r="E29" t="s">
        <v>85</v>
      </c>
      <c r="F29">
        <f t="shared" si="0"/>
        <v>0</v>
      </c>
    </row>
    <row r="30" spans="1:6" x14ac:dyDescent="0.25">
      <c r="A30" t="s">
        <v>84</v>
      </c>
      <c r="B30">
        <v>29</v>
      </c>
      <c r="C30">
        <f>Prices!C30-8.5</f>
        <v>-8.5</v>
      </c>
      <c r="D30" s="13">
        <v>0</v>
      </c>
      <c r="E30" t="s">
        <v>85</v>
      </c>
      <c r="F30">
        <f t="shared" si="0"/>
        <v>0</v>
      </c>
    </row>
    <row r="31" spans="1:6" x14ac:dyDescent="0.25">
      <c r="A31" t="s">
        <v>84</v>
      </c>
      <c r="B31">
        <v>30</v>
      </c>
      <c r="C31">
        <f>Prices!C31-8.5</f>
        <v>-8.5</v>
      </c>
      <c r="D31" s="13">
        <v>0</v>
      </c>
      <c r="E31" t="s">
        <v>85</v>
      </c>
      <c r="F31">
        <f t="shared" si="0"/>
        <v>0</v>
      </c>
    </row>
    <row r="32" spans="1:6" x14ac:dyDescent="0.25">
      <c r="A32" t="s">
        <v>84</v>
      </c>
      <c r="B32">
        <v>31</v>
      </c>
      <c r="C32">
        <f>Prices!C32-8.5</f>
        <v>-8.5</v>
      </c>
      <c r="D32" s="13">
        <v>0</v>
      </c>
      <c r="E32" t="s">
        <v>85</v>
      </c>
      <c r="F32">
        <f t="shared" si="0"/>
        <v>0</v>
      </c>
    </row>
    <row r="33" spans="1:6" x14ac:dyDescent="0.25">
      <c r="A33" t="s">
        <v>84</v>
      </c>
      <c r="B33">
        <v>32</v>
      </c>
      <c r="C33">
        <f>Prices!C33-8.5</f>
        <v>-8.5</v>
      </c>
      <c r="D33" s="13">
        <v>0</v>
      </c>
      <c r="E33" t="s">
        <v>85</v>
      </c>
      <c r="F33">
        <f t="shared" si="0"/>
        <v>0</v>
      </c>
    </row>
    <row r="34" spans="1:6" x14ac:dyDescent="0.25">
      <c r="A34" t="s">
        <v>84</v>
      </c>
      <c r="B34">
        <v>33</v>
      </c>
      <c r="C34">
        <f>Prices!C34-8.5</f>
        <v>-8.5</v>
      </c>
      <c r="D34" s="13">
        <v>0</v>
      </c>
      <c r="E34" t="s">
        <v>85</v>
      </c>
      <c r="F34">
        <f t="shared" ref="F34:F65" si="1">C34*D34/4</f>
        <v>0</v>
      </c>
    </row>
    <row r="35" spans="1:6" x14ac:dyDescent="0.25">
      <c r="A35" t="s">
        <v>84</v>
      </c>
      <c r="B35">
        <v>34</v>
      </c>
      <c r="C35">
        <f>Prices!C35-8.5</f>
        <v>-8.5</v>
      </c>
      <c r="D35" s="13">
        <v>0</v>
      </c>
      <c r="E35" t="s">
        <v>85</v>
      </c>
      <c r="F35">
        <f t="shared" si="1"/>
        <v>0</v>
      </c>
    </row>
    <row r="36" spans="1:6" x14ac:dyDescent="0.25">
      <c r="A36" t="s">
        <v>84</v>
      </c>
      <c r="B36">
        <v>35</v>
      </c>
      <c r="C36">
        <f>Prices!C36-8.5</f>
        <v>-8.5</v>
      </c>
      <c r="D36" s="13">
        <v>0</v>
      </c>
      <c r="E36" t="s">
        <v>85</v>
      </c>
      <c r="F36">
        <f t="shared" si="1"/>
        <v>0</v>
      </c>
    </row>
    <row r="37" spans="1:6" x14ac:dyDescent="0.25">
      <c r="A37" t="s">
        <v>84</v>
      </c>
      <c r="B37">
        <v>36</v>
      </c>
      <c r="C37">
        <f>Prices!C37-8.5</f>
        <v>-8.5</v>
      </c>
      <c r="D37" s="13">
        <v>0</v>
      </c>
      <c r="E37" t="s">
        <v>85</v>
      </c>
      <c r="F37">
        <f t="shared" si="1"/>
        <v>0</v>
      </c>
    </row>
    <row r="38" spans="1:6" x14ac:dyDescent="0.25">
      <c r="A38" t="s">
        <v>84</v>
      </c>
      <c r="B38">
        <v>37</v>
      </c>
      <c r="C38">
        <f>Prices!C38-8.5</f>
        <v>-8.5</v>
      </c>
      <c r="D38" s="13">
        <v>0</v>
      </c>
      <c r="E38" t="s">
        <v>85</v>
      </c>
      <c r="F38">
        <f t="shared" si="1"/>
        <v>0</v>
      </c>
    </row>
    <row r="39" spans="1:6" x14ac:dyDescent="0.25">
      <c r="A39" t="s">
        <v>84</v>
      </c>
      <c r="B39">
        <v>38</v>
      </c>
      <c r="C39">
        <f>Prices!C39-8.5</f>
        <v>-8.5</v>
      </c>
      <c r="D39" s="13">
        <v>0</v>
      </c>
      <c r="E39" t="s">
        <v>85</v>
      </c>
      <c r="F39">
        <f t="shared" si="1"/>
        <v>0</v>
      </c>
    </row>
    <row r="40" spans="1:6" x14ac:dyDescent="0.25">
      <c r="A40" t="s">
        <v>84</v>
      </c>
      <c r="B40">
        <v>39</v>
      </c>
      <c r="C40">
        <f>Prices!C40-8.5</f>
        <v>-8.5</v>
      </c>
      <c r="D40" s="13">
        <v>0</v>
      </c>
      <c r="E40" t="s">
        <v>85</v>
      </c>
      <c r="F40">
        <f t="shared" si="1"/>
        <v>0</v>
      </c>
    </row>
    <row r="41" spans="1:6" x14ac:dyDescent="0.25">
      <c r="A41" t="s">
        <v>84</v>
      </c>
      <c r="B41">
        <v>40</v>
      </c>
      <c r="C41">
        <f>Prices!C41-8.5</f>
        <v>-8.5</v>
      </c>
      <c r="D41" s="13">
        <v>0</v>
      </c>
      <c r="E41" t="s">
        <v>85</v>
      </c>
      <c r="F41">
        <f t="shared" si="1"/>
        <v>0</v>
      </c>
    </row>
    <row r="42" spans="1:6" x14ac:dyDescent="0.25">
      <c r="A42" t="s">
        <v>84</v>
      </c>
      <c r="B42">
        <v>41</v>
      </c>
      <c r="C42">
        <f>Prices!C42-8.5</f>
        <v>-8.5</v>
      </c>
      <c r="D42" s="13">
        <v>0</v>
      </c>
      <c r="E42" t="s">
        <v>85</v>
      </c>
      <c r="F42">
        <f t="shared" si="1"/>
        <v>0</v>
      </c>
    </row>
    <row r="43" spans="1:6" x14ac:dyDescent="0.25">
      <c r="A43" t="s">
        <v>84</v>
      </c>
      <c r="B43">
        <v>42</v>
      </c>
      <c r="C43">
        <f>Prices!C43-8.5</f>
        <v>-8.5</v>
      </c>
      <c r="D43" s="13">
        <v>0</v>
      </c>
      <c r="E43" t="s">
        <v>85</v>
      </c>
      <c r="F43">
        <f t="shared" si="1"/>
        <v>0</v>
      </c>
    </row>
    <row r="44" spans="1:6" x14ac:dyDescent="0.25">
      <c r="A44" t="s">
        <v>84</v>
      </c>
      <c r="B44">
        <v>43</v>
      </c>
      <c r="C44">
        <f>Prices!C44-8.5</f>
        <v>-8.5</v>
      </c>
      <c r="D44" s="13">
        <v>0</v>
      </c>
      <c r="E44" t="s">
        <v>85</v>
      </c>
      <c r="F44">
        <f t="shared" si="1"/>
        <v>0</v>
      </c>
    </row>
    <row r="45" spans="1:6" x14ac:dyDescent="0.25">
      <c r="A45" t="s">
        <v>84</v>
      </c>
      <c r="B45">
        <v>44</v>
      </c>
      <c r="C45">
        <f>Prices!C45-8.5</f>
        <v>-8.5</v>
      </c>
      <c r="D45" s="13">
        <v>0</v>
      </c>
      <c r="E45" t="s">
        <v>85</v>
      </c>
      <c r="F45">
        <f t="shared" si="1"/>
        <v>0</v>
      </c>
    </row>
    <row r="46" spans="1:6" x14ac:dyDescent="0.25">
      <c r="A46" t="s">
        <v>84</v>
      </c>
      <c r="B46">
        <v>45</v>
      </c>
      <c r="C46">
        <f>Prices!C46-8.5</f>
        <v>-8.5</v>
      </c>
      <c r="D46" s="13">
        <v>0</v>
      </c>
      <c r="E46" t="s">
        <v>85</v>
      </c>
      <c r="F46">
        <f t="shared" si="1"/>
        <v>0</v>
      </c>
    </row>
    <row r="47" spans="1:6" x14ac:dyDescent="0.25">
      <c r="A47" t="s">
        <v>84</v>
      </c>
      <c r="B47">
        <v>46</v>
      </c>
      <c r="C47">
        <f>Prices!C47-8.5</f>
        <v>-8.5</v>
      </c>
      <c r="D47" s="13">
        <v>0</v>
      </c>
      <c r="E47" t="s">
        <v>85</v>
      </c>
      <c r="F47">
        <f t="shared" si="1"/>
        <v>0</v>
      </c>
    </row>
    <row r="48" spans="1:6" x14ac:dyDescent="0.25">
      <c r="A48" t="s">
        <v>84</v>
      </c>
      <c r="B48">
        <v>47</v>
      </c>
      <c r="C48">
        <f>Prices!C48-8.5</f>
        <v>-8.5</v>
      </c>
      <c r="D48" s="13">
        <v>0</v>
      </c>
      <c r="E48" t="s">
        <v>85</v>
      </c>
      <c r="F48">
        <f t="shared" si="1"/>
        <v>0</v>
      </c>
    </row>
    <row r="49" spans="1:6" x14ac:dyDescent="0.25">
      <c r="A49" t="s">
        <v>84</v>
      </c>
      <c r="B49">
        <v>48</v>
      </c>
      <c r="C49">
        <f>Prices!C49-8.5</f>
        <v>-8.5</v>
      </c>
      <c r="D49" s="13">
        <v>0</v>
      </c>
      <c r="E49" t="s">
        <v>85</v>
      </c>
      <c r="F49">
        <f t="shared" si="1"/>
        <v>0</v>
      </c>
    </row>
    <row r="50" spans="1:6" x14ac:dyDescent="0.25">
      <c r="A50" t="s">
        <v>84</v>
      </c>
      <c r="B50">
        <v>49</v>
      </c>
      <c r="C50">
        <f>Prices!C50-8.5</f>
        <v>-8.5</v>
      </c>
      <c r="D50" s="13">
        <v>0</v>
      </c>
      <c r="E50" t="s">
        <v>85</v>
      </c>
      <c r="F50">
        <f t="shared" si="1"/>
        <v>0</v>
      </c>
    </row>
    <row r="51" spans="1:6" x14ac:dyDescent="0.25">
      <c r="A51" t="s">
        <v>84</v>
      </c>
      <c r="B51">
        <v>50</v>
      </c>
      <c r="C51">
        <f>Prices!C51-8.5</f>
        <v>-8.5</v>
      </c>
      <c r="D51" s="13">
        <v>0</v>
      </c>
      <c r="E51" t="s">
        <v>85</v>
      </c>
      <c r="F51">
        <f t="shared" si="1"/>
        <v>0</v>
      </c>
    </row>
    <row r="52" spans="1:6" x14ac:dyDescent="0.25">
      <c r="A52" t="s">
        <v>84</v>
      </c>
      <c r="B52">
        <v>51</v>
      </c>
      <c r="C52">
        <f>Prices!C52-8.5</f>
        <v>-8.5</v>
      </c>
      <c r="D52" s="13">
        <v>0</v>
      </c>
      <c r="E52" t="s">
        <v>85</v>
      </c>
      <c r="F52">
        <f t="shared" si="1"/>
        <v>0</v>
      </c>
    </row>
    <row r="53" spans="1:6" x14ac:dyDescent="0.25">
      <c r="A53" t="s">
        <v>84</v>
      </c>
      <c r="B53">
        <v>52</v>
      </c>
      <c r="C53">
        <f>Prices!C53-8.5</f>
        <v>-8.5</v>
      </c>
      <c r="D53" s="13">
        <v>0</v>
      </c>
      <c r="E53" t="s">
        <v>85</v>
      </c>
      <c r="F53">
        <f t="shared" si="1"/>
        <v>0</v>
      </c>
    </row>
    <row r="54" spans="1:6" x14ac:dyDescent="0.25">
      <c r="A54" t="s">
        <v>84</v>
      </c>
      <c r="B54">
        <v>53</v>
      </c>
      <c r="C54">
        <f>Prices!C54-8.5</f>
        <v>-8.5</v>
      </c>
      <c r="D54" s="13">
        <v>0</v>
      </c>
      <c r="E54" t="s">
        <v>85</v>
      </c>
      <c r="F54">
        <f t="shared" si="1"/>
        <v>0</v>
      </c>
    </row>
    <row r="55" spans="1:6" x14ac:dyDescent="0.25">
      <c r="A55" t="s">
        <v>84</v>
      </c>
      <c r="B55">
        <v>54</v>
      </c>
      <c r="C55">
        <f>Prices!C55-8.5</f>
        <v>-8.5</v>
      </c>
      <c r="D55" s="13">
        <v>0</v>
      </c>
      <c r="E55" t="s">
        <v>85</v>
      </c>
      <c r="F55">
        <f t="shared" si="1"/>
        <v>0</v>
      </c>
    </row>
    <row r="56" spans="1:6" x14ac:dyDescent="0.25">
      <c r="A56" t="s">
        <v>84</v>
      </c>
      <c r="B56">
        <v>55</v>
      </c>
      <c r="C56">
        <f>Prices!C56-8.5</f>
        <v>-8.5</v>
      </c>
      <c r="D56" s="13">
        <v>0</v>
      </c>
      <c r="E56" t="s">
        <v>85</v>
      </c>
      <c r="F56">
        <f t="shared" si="1"/>
        <v>0</v>
      </c>
    </row>
    <row r="57" spans="1:6" x14ac:dyDescent="0.25">
      <c r="A57" t="s">
        <v>84</v>
      </c>
      <c r="B57">
        <v>56</v>
      </c>
      <c r="C57">
        <f>Prices!C57-8.5</f>
        <v>-8.5</v>
      </c>
      <c r="D57" s="13">
        <v>0</v>
      </c>
      <c r="E57" t="s">
        <v>85</v>
      </c>
      <c r="F57">
        <f t="shared" si="1"/>
        <v>0</v>
      </c>
    </row>
    <row r="58" spans="1:6" x14ac:dyDescent="0.25">
      <c r="A58" t="s">
        <v>84</v>
      </c>
      <c r="B58">
        <v>57</v>
      </c>
      <c r="C58">
        <f>Prices!C58-8.5</f>
        <v>-8.5</v>
      </c>
      <c r="D58" s="13">
        <v>0</v>
      </c>
      <c r="E58" t="s">
        <v>85</v>
      </c>
      <c r="F58">
        <f t="shared" si="1"/>
        <v>0</v>
      </c>
    </row>
    <row r="59" spans="1:6" x14ac:dyDescent="0.25">
      <c r="A59" t="s">
        <v>84</v>
      </c>
      <c r="B59">
        <v>58</v>
      </c>
      <c r="C59">
        <f>Prices!C59-8.5</f>
        <v>-8.5</v>
      </c>
      <c r="D59" s="13">
        <v>0</v>
      </c>
      <c r="E59" t="s">
        <v>85</v>
      </c>
      <c r="F59">
        <f t="shared" si="1"/>
        <v>0</v>
      </c>
    </row>
    <row r="60" spans="1:6" x14ac:dyDescent="0.25">
      <c r="A60" t="s">
        <v>84</v>
      </c>
      <c r="B60">
        <v>59</v>
      </c>
      <c r="C60">
        <f>Prices!C60-8.5</f>
        <v>-8.5</v>
      </c>
      <c r="D60" s="13">
        <v>0</v>
      </c>
      <c r="E60" t="s">
        <v>85</v>
      </c>
      <c r="F60">
        <f t="shared" si="1"/>
        <v>0</v>
      </c>
    </row>
    <row r="61" spans="1:6" x14ac:dyDescent="0.25">
      <c r="A61" t="s">
        <v>84</v>
      </c>
      <c r="B61">
        <v>60</v>
      </c>
      <c r="C61">
        <f>Prices!C61-8.5</f>
        <v>-8.5</v>
      </c>
      <c r="D61" s="13">
        <v>0</v>
      </c>
      <c r="E61" t="s">
        <v>85</v>
      </c>
      <c r="F61">
        <f t="shared" si="1"/>
        <v>0</v>
      </c>
    </row>
    <row r="62" spans="1:6" x14ac:dyDescent="0.25">
      <c r="A62" t="s">
        <v>84</v>
      </c>
      <c r="B62">
        <v>61</v>
      </c>
      <c r="C62">
        <f>Prices!C62-8.5</f>
        <v>-8.5</v>
      </c>
      <c r="D62" s="13">
        <v>0</v>
      </c>
      <c r="E62" t="s">
        <v>85</v>
      </c>
      <c r="F62">
        <f t="shared" si="1"/>
        <v>0</v>
      </c>
    </row>
    <row r="63" spans="1:6" x14ac:dyDescent="0.25">
      <c r="A63" t="s">
        <v>84</v>
      </c>
      <c r="B63">
        <v>62</v>
      </c>
      <c r="C63">
        <f>Prices!C63-8.5</f>
        <v>-8.5</v>
      </c>
      <c r="D63" s="13">
        <v>0</v>
      </c>
      <c r="E63" t="s">
        <v>85</v>
      </c>
      <c r="F63">
        <f t="shared" si="1"/>
        <v>0</v>
      </c>
    </row>
    <row r="64" spans="1:6" x14ac:dyDescent="0.25">
      <c r="A64" t="s">
        <v>84</v>
      </c>
      <c r="B64">
        <v>63</v>
      </c>
      <c r="C64">
        <f>Prices!C64-8.5</f>
        <v>-8.5</v>
      </c>
      <c r="D64" s="13">
        <v>0</v>
      </c>
      <c r="E64" t="s">
        <v>85</v>
      </c>
      <c r="F64">
        <f t="shared" si="1"/>
        <v>0</v>
      </c>
    </row>
    <row r="65" spans="1:6" x14ac:dyDescent="0.25">
      <c r="A65" t="s">
        <v>84</v>
      </c>
      <c r="B65">
        <v>64</v>
      </c>
      <c r="C65">
        <f>Prices!C65-8.5</f>
        <v>-8.5</v>
      </c>
      <c r="D65" s="13">
        <v>0</v>
      </c>
      <c r="E65" t="s">
        <v>85</v>
      </c>
      <c r="F65">
        <f t="shared" si="1"/>
        <v>0</v>
      </c>
    </row>
    <row r="66" spans="1:6" x14ac:dyDescent="0.25">
      <c r="A66" t="s">
        <v>84</v>
      </c>
      <c r="B66">
        <v>65</v>
      </c>
      <c r="C66">
        <f>Prices!C66-8.5</f>
        <v>-8.5</v>
      </c>
      <c r="D66" s="13">
        <v>0</v>
      </c>
      <c r="E66" t="s">
        <v>85</v>
      </c>
      <c r="F66">
        <f t="shared" ref="F66:F97" si="2">C66*D66/4</f>
        <v>0</v>
      </c>
    </row>
    <row r="67" spans="1:6" x14ac:dyDescent="0.25">
      <c r="A67" t="s">
        <v>84</v>
      </c>
      <c r="B67">
        <v>66</v>
      </c>
      <c r="C67">
        <f>Prices!C67-8.5</f>
        <v>-8.5</v>
      </c>
      <c r="D67" s="13">
        <v>0</v>
      </c>
      <c r="E67" t="s">
        <v>85</v>
      </c>
      <c r="F67">
        <f t="shared" si="2"/>
        <v>0</v>
      </c>
    </row>
    <row r="68" spans="1:6" x14ac:dyDescent="0.25">
      <c r="A68" t="s">
        <v>84</v>
      </c>
      <c r="B68">
        <v>67</v>
      </c>
      <c r="C68">
        <f>Prices!C68-8.5</f>
        <v>-8.5</v>
      </c>
      <c r="D68" s="13">
        <v>0</v>
      </c>
      <c r="E68" t="s">
        <v>85</v>
      </c>
      <c r="F68">
        <f t="shared" si="2"/>
        <v>0</v>
      </c>
    </row>
    <row r="69" spans="1:6" x14ac:dyDescent="0.25">
      <c r="A69" t="s">
        <v>84</v>
      </c>
      <c r="B69">
        <v>68</v>
      </c>
      <c r="C69">
        <f>Prices!C69-8.5</f>
        <v>-8.5</v>
      </c>
      <c r="D69" s="13">
        <v>0</v>
      </c>
      <c r="E69" t="s">
        <v>85</v>
      </c>
      <c r="F69">
        <f t="shared" si="2"/>
        <v>0</v>
      </c>
    </row>
    <row r="70" spans="1:6" x14ac:dyDescent="0.25">
      <c r="A70" t="s">
        <v>84</v>
      </c>
      <c r="B70">
        <v>69</v>
      </c>
      <c r="C70">
        <f>Prices!C70-8.5</f>
        <v>-8.5</v>
      </c>
      <c r="D70" s="13">
        <v>0</v>
      </c>
      <c r="E70" t="s">
        <v>85</v>
      </c>
      <c r="F70">
        <f t="shared" si="2"/>
        <v>0</v>
      </c>
    </row>
    <row r="71" spans="1:6" x14ac:dyDescent="0.25">
      <c r="A71" t="s">
        <v>84</v>
      </c>
      <c r="B71">
        <v>70</v>
      </c>
      <c r="C71">
        <f>Prices!C71-8.5</f>
        <v>-8.5</v>
      </c>
      <c r="D71" s="13">
        <v>0</v>
      </c>
      <c r="E71" t="s">
        <v>85</v>
      </c>
      <c r="F71">
        <f t="shared" si="2"/>
        <v>0</v>
      </c>
    </row>
    <row r="72" spans="1:6" x14ac:dyDescent="0.25">
      <c r="A72" t="s">
        <v>84</v>
      </c>
      <c r="B72">
        <v>71</v>
      </c>
      <c r="C72">
        <f>Prices!C72-8.5</f>
        <v>-8.5</v>
      </c>
      <c r="D72" s="13">
        <v>0</v>
      </c>
      <c r="E72" t="s">
        <v>85</v>
      </c>
      <c r="F72">
        <f t="shared" si="2"/>
        <v>0</v>
      </c>
    </row>
    <row r="73" spans="1:6" x14ac:dyDescent="0.25">
      <c r="A73" t="s">
        <v>84</v>
      </c>
      <c r="B73">
        <v>72</v>
      </c>
      <c r="C73">
        <f>Prices!C73-8.5</f>
        <v>-8.5</v>
      </c>
      <c r="D73" s="13">
        <v>0</v>
      </c>
      <c r="E73" t="s">
        <v>85</v>
      </c>
      <c r="F73">
        <f t="shared" si="2"/>
        <v>0</v>
      </c>
    </row>
    <row r="74" spans="1:6" x14ac:dyDescent="0.25">
      <c r="A74" t="s">
        <v>84</v>
      </c>
      <c r="B74">
        <v>73</v>
      </c>
      <c r="C74">
        <f>Prices!C74-8.5</f>
        <v>-8.5</v>
      </c>
      <c r="D74" s="13">
        <v>0</v>
      </c>
      <c r="E74" t="s">
        <v>85</v>
      </c>
      <c r="F74">
        <f t="shared" si="2"/>
        <v>0</v>
      </c>
    </row>
    <row r="75" spans="1:6" x14ac:dyDescent="0.25">
      <c r="A75" t="s">
        <v>84</v>
      </c>
      <c r="B75">
        <v>74</v>
      </c>
      <c r="C75">
        <f>Prices!C75-8.5</f>
        <v>-8.5</v>
      </c>
      <c r="D75" s="13">
        <v>0</v>
      </c>
      <c r="E75" t="s">
        <v>85</v>
      </c>
      <c r="F75">
        <f t="shared" si="2"/>
        <v>0</v>
      </c>
    </row>
    <row r="76" spans="1:6" x14ac:dyDescent="0.25">
      <c r="A76" t="s">
        <v>84</v>
      </c>
      <c r="B76">
        <v>75</v>
      </c>
      <c r="C76">
        <f>Prices!C76-8.5</f>
        <v>-8.5</v>
      </c>
      <c r="D76" s="13">
        <v>0</v>
      </c>
      <c r="E76" t="s">
        <v>85</v>
      </c>
      <c r="F76">
        <f t="shared" si="2"/>
        <v>0</v>
      </c>
    </row>
    <row r="77" spans="1:6" x14ac:dyDescent="0.25">
      <c r="A77" t="s">
        <v>84</v>
      </c>
      <c r="B77">
        <v>76</v>
      </c>
      <c r="C77">
        <f>Prices!C77-8.5</f>
        <v>-8.5</v>
      </c>
      <c r="D77" s="13">
        <v>0</v>
      </c>
      <c r="E77" t="s">
        <v>85</v>
      </c>
      <c r="F77">
        <f t="shared" si="2"/>
        <v>0</v>
      </c>
    </row>
    <row r="78" spans="1:6" x14ac:dyDescent="0.25">
      <c r="A78" t="s">
        <v>84</v>
      </c>
      <c r="B78">
        <v>77</v>
      </c>
      <c r="C78">
        <f>Prices!C78-8.5</f>
        <v>-8.5</v>
      </c>
      <c r="D78" s="13">
        <v>0</v>
      </c>
      <c r="E78" t="s">
        <v>85</v>
      </c>
      <c r="F78">
        <f t="shared" si="2"/>
        <v>0</v>
      </c>
    </row>
    <row r="79" spans="1:6" x14ac:dyDescent="0.25">
      <c r="A79" t="s">
        <v>84</v>
      </c>
      <c r="B79">
        <v>78</v>
      </c>
      <c r="C79">
        <f>Prices!C79-8.5</f>
        <v>-8.5</v>
      </c>
      <c r="D79" s="13">
        <v>0</v>
      </c>
      <c r="E79" t="s">
        <v>85</v>
      </c>
      <c r="F79">
        <f t="shared" si="2"/>
        <v>0</v>
      </c>
    </row>
    <row r="80" spans="1:6" x14ac:dyDescent="0.25">
      <c r="A80" t="s">
        <v>84</v>
      </c>
      <c r="B80">
        <v>79</v>
      </c>
      <c r="C80">
        <f>Prices!C80-8.5</f>
        <v>-8.5</v>
      </c>
      <c r="D80" s="13">
        <v>0</v>
      </c>
      <c r="E80" t="s">
        <v>85</v>
      </c>
      <c r="F80">
        <f t="shared" si="2"/>
        <v>0</v>
      </c>
    </row>
    <row r="81" spans="1:6" x14ac:dyDescent="0.25">
      <c r="A81" t="s">
        <v>84</v>
      </c>
      <c r="B81">
        <v>80</v>
      </c>
      <c r="C81">
        <f>Prices!C81-8.5</f>
        <v>-8.5</v>
      </c>
      <c r="D81" s="13">
        <v>0</v>
      </c>
      <c r="E81" t="s">
        <v>85</v>
      </c>
      <c r="F81">
        <f t="shared" si="2"/>
        <v>0</v>
      </c>
    </row>
    <row r="82" spans="1:6" x14ac:dyDescent="0.25">
      <c r="A82" t="s">
        <v>84</v>
      </c>
      <c r="B82">
        <v>81</v>
      </c>
      <c r="C82">
        <f>Prices!C82-8.5</f>
        <v>-8.5</v>
      </c>
      <c r="D82" s="13">
        <v>0</v>
      </c>
      <c r="E82" t="s">
        <v>85</v>
      </c>
      <c r="F82">
        <f t="shared" si="2"/>
        <v>0</v>
      </c>
    </row>
    <row r="83" spans="1:6" x14ac:dyDescent="0.25">
      <c r="A83" t="s">
        <v>84</v>
      </c>
      <c r="B83">
        <v>82</v>
      </c>
      <c r="C83">
        <f>Prices!C83-8.5</f>
        <v>-8.5</v>
      </c>
      <c r="D83" s="13">
        <v>0</v>
      </c>
      <c r="E83" t="s">
        <v>85</v>
      </c>
      <c r="F83">
        <f t="shared" si="2"/>
        <v>0</v>
      </c>
    </row>
    <row r="84" spans="1:6" x14ac:dyDescent="0.25">
      <c r="A84" t="s">
        <v>84</v>
      </c>
      <c r="B84">
        <v>83</v>
      </c>
      <c r="C84">
        <f>Prices!C84-8.5</f>
        <v>-8.5</v>
      </c>
      <c r="D84" s="13">
        <v>0</v>
      </c>
      <c r="E84" t="s">
        <v>85</v>
      </c>
      <c r="F84">
        <f t="shared" si="2"/>
        <v>0</v>
      </c>
    </row>
    <row r="85" spans="1:6" x14ac:dyDescent="0.25">
      <c r="A85" t="s">
        <v>84</v>
      </c>
      <c r="B85">
        <v>84</v>
      </c>
      <c r="C85">
        <f>Prices!C85-8.5</f>
        <v>-8.5</v>
      </c>
      <c r="D85" s="13">
        <v>0</v>
      </c>
      <c r="E85" t="s">
        <v>85</v>
      </c>
      <c r="F85">
        <f t="shared" si="2"/>
        <v>0</v>
      </c>
    </row>
    <row r="86" spans="1:6" x14ac:dyDescent="0.25">
      <c r="A86" t="s">
        <v>84</v>
      </c>
      <c r="B86">
        <v>85</v>
      </c>
      <c r="C86">
        <f>Prices!C86-8.5</f>
        <v>-8.5</v>
      </c>
      <c r="D86" s="13">
        <v>0</v>
      </c>
      <c r="E86" t="s">
        <v>85</v>
      </c>
      <c r="F86">
        <f t="shared" si="2"/>
        <v>0</v>
      </c>
    </row>
    <row r="87" spans="1:6" x14ac:dyDescent="0.25">
      <c r="A87" t="s">
        <v>84</v>
      </c>
      <c r="B87">
        <v>86</v>
      </c>
      <c r="C87">
        <f>Prices!C87-8.5</f>
        <v>-8.5</v>
      </c>
      <c r="D87" s="13">
        <v>0</v>
      </c>
      <c r="E87" t="s">
        <v>85</v>
      </c>
      <c r="F87">
        <f t="shared" si="2"/>
        <v>0</v>
      </c>
    </row>
    <row r="88" spans="1:6" x14ac:dyDescent="0.25">
      <c r="A88" t="s">
        <v>84</v>
      </c>
      <c r="B88">
        <v>87</v>
      </c>
      <c r="C88">
        <f>Prices!C88-8.5</f>
        <v>-8.5</v>
      </c>
      <c r="D88" s="13">
        <v>0</v>
      </c>
      <c r="E88" t="s">
        <v>85</v>
      </c>
      <c r="F88">
        <f t="shared" si="2"/>
        <v>0</v>
      </c>
    </row>
    <row r="89" spans="1:6" x14ac:dyDescent="0.25">
      <c r="A89" t="s">
        <v>84</v>
      </c>
      <c r="B89">
        <v>88</v>
      </c>
      <c r="C89">
        <f>Prices!C89-8.5</f>
        <v>-8.5</v>
      </c>
      <c r="D89" s="13">
        <v>0</v>
      </c>
      <c r="E89" t="s">
        <v>85</v>
      </c>
      <c r="F89">
        <f t="shared" si="2"/>
        <v>0</v>
      </c>
    </row>
    <row r="90" spans="1:6" x14ac:dyDescent="0.25">
      <c r="A90" t="s">
        <v>84</v>
      </c>
      <c r="B90">
        <v>89</v>
      </c>
      <c r="C90">
        <f>Prices!C90-8.5</f>
        <v>-8.5</v>
      </c>
      <c r="D90" s="13">
        <v>0</v>
      </c>
      <c r="E90" t="s">
        <v>85</v>
      </c>
      <c r="F90">
        <f t="shared" si="2"/>
        <v>0</v>
      </c>
    </row>
    <row r="91" spans="1:6" x14ac:dyDescent="0.25">
      <c r="A91" t="s">
        <v>84</v>
      </c>
      <c r="B91">
        <v>90</v>
      </c>
      <c r="C91">
        <f>Prices!C91-8.5</f>
        <v>-8.5</v>
      </c>
      <c r="D91" s="13">
        <v>0</v>
      </c>
      <c r="E91" t="s">
        <v>85</v>
      </c>
      <c r="F91">
        <f t="shared" si="2"/>
        <v>0</v>
      </c>
    </row>
    <row r="92" spans="1:6" x14ac:dyDescent="0.25">
      <c r="A92" t="s">
        <v>84</v>
      </c>
      <c r="B92">
        <v>91</v>
      </c>
      <c r="C92">
        <f>Prices!C92-8.5</f>
        <v>-8.5</v>
      </c>
      <c r="D92" s="13">
        <v>0</v>
      </c>
      <c r="E92" t="s">
        <v>85</v>
      </c>
      <c r="F92">
        <f t="shared" si="2"/>
        <v>0</v>
      </c>
    </row>
    <row r="93" spans="1:6" x14ac:dyDescent="0.25">
      <c r="A93" t="s">
        <v>84</v>
      </c>
      <c r="B93">
        <v>92</v>
      </c>
      <c r="C93">
        <f>Prices!C93-8.5</f>
        <v>-8.5</v>
      </c>
      <c r="D93" s="13">
        <v>0</v>
      </c>
      <c r="E93" t="s">
        <v>85</v>
      </c>
      <c r="F93">
        <f t="shared" si="2"/>
        <v>0</v>
      </c>
    </row>
    <row r="94" spans="1:6" x14ac:dyDescent="0.25">
      <c r="A94" t="s">
        <v>84</v>
      </c>
      <c r="B94">
        <v>93</v>
      </c>
      <c r="C94">
        <f>Prices!C94-8.5</f>
        <v>-8.5</v>
      </c>
      <c r="D94" s="13">
        <v>0</v>
      </c>
      <c r="E94" t="s">
        <v>85</v>
      </c>
      <c r="F94">
        <f t="shared" si="2"/>
        <v>0</v>
      </c>
    </row>
    <row r="95" spans="1:6" x14ac:dyDescent="0.25">
      <c r="A95" t="s">
        <v>84</v>
      </c>
      <c r="B95">
        <v>94</v>
      </c>
      <c r="C95">
        <f>Prices!C95-8.5</f>
        <v>-8.5</v>
      </c>
      <c r="D95" s="13">
        <v>0</v>
      </c>
      <c r="E95" t="s">
        <v>85</v>
      </c>
      <c r="F95">
        <f t="shared" si="2"/>
        <v>0</v>
      </c>
    </row>
    <row r="96" spans="1:6" x14ac:dyDescent="0.25">
      <c r="A96" t="s">
        <v>84</v>
      </c>
      <c r="B96">
        <v>95</v>
      </c>
      <c r="C96">
        <f>Prices!C96-8.5</f>
        <v>-8.5</v>
      </c>
      <c r="D96" s="13">
        <v>0</v>
      </c>
      <c r="E96" t="s">
        <v>85</v>
      </c>
      <c r="F96">
        <f t="shared" si="2"/>
        <v>0</v>
      </c>
    </row>
    <row r="97" spans="1:6" x14ac:dyDescent="0.25">
      <c r="A97" t="s">
        <v>84</v>
      </c>
      <c r="B97">
        <v>96</v>
      </c>
      <c r="C97">
        <f>Prices!C97-8.5</f>
        <v>-8.5</v>
      </c>
      <c r="D97" s="13">
        <v>0</v>
      </c>
      <c r="E97" t="s">
        <v>85</v>
      </c>
      <c r="F97">
        <f t="shared" si="2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1"/>
  <dimension ref="A1:F97"/>
  <sheetViews>
    <sheetView topLeftCell="A19" workbookViewId="0">
      <selection activeCell="I8" sqref="I8:I9"/>
    </sheetView>
  </sheetViews>
  <sheetFormatPr defaultRowHeight="15" x14ac:dyDescent="0.25"/>
  <cols>
    <col min="2" max="2" width="7.5703125" bestFit="1" customWidth="1"/>
    <col min="3" max="3" width="6" bestFit="1" customWidth="1"/>
    <col min="4" max="4" width="4.42578125" bestFit="1" customWidth="1"/>
    <col min="5" max="5" width="6.85546875" bestFit="1" customWidth="1"/>
  </cols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Prices!C2-13</f>
        <v>-13</v>
      </c>
      <c r="D2">
        <v>0</v>
      </c>
      <c r="E2" t="s">
        <v>85</v>
      </c>
      <c r="F2">
        <f t="shared" ref="F2:F33" si="0">C2*D2/4</f>
        <v>0</v>
      </c>
    </row>
    <row r="3" spans="1:6" x14ac:dyDescent="0.25">
      <c r="A3" t="s">
        <v>84</v>
      </c>
      <c r="B3">
        <v>2</v>
      </c>
      <c r="C3">
        <f>Prices!C3-13</f>
        <v>-13</v>
      </c>
      <c r="D3">
        <v>0</v>
      </c>
      <c r="E3" t="s">
        <v>85</v>
      </c>
      <c r="F3">
        <f t="shared" si="0"/>
        <v>0</v>
      </c>
    </row>
    <row r="4" spans="1:6" x14ac:dyDescent="0.25">
      <c r="A4" t="s">
        <v>84</v>
      </c>
      <c r="B4">
        <v>3</v>
      </c>
      <c r="C4">
        <f>Prices!C4-13</f>
        <v>-13</v>
      </c>
      <c r="D4">
        <v>0</v>
      </c>
      <c r="E4" t="s">
        <v>85</v>
      </c>
      <c r="F4">
        <f t="shared" si="0"/>
        <v>0</v>
      </c>
    </row>
    <row r="5" spans="1:6" x14ac:dyDescent="0.25">
      <c r="A5" t="s">
        <v>84</v>
      </c>
      <c r="B5">
        <v>4</v>
      </c>
      <c r="C5">
        <f>Prices!C5-13</f>
        <v>-13</v>
      </c>
      <c r="D5">
        <v>0</v>
      </c>
      <c r="E5" t="s">
        <v>85</v>
      </c>
      <c r="F5">
        <f t="shared" si="0"/>
        <v>0</v>
      </c>
    </row>
    <row r="6" spans="1:6" x14ac:dyDescent="0.25">
      <c r="A6" t="s">
        <v>84</v>
      </c>
      <c r="B6">
        <v>5</v>
      </c>
      <c r="C6">
        <f>Prices!C6-13</f>
        <v>-13</v>
      </c>
      <c r="D6">
        <v>0</v>
      </c>
      <c r="E6" t="s">
        <v>85</v>
      </c>
      <c r="F6">
        <f t="shared" si="0"/>
        <v>0</v>
      </c>
    </row>
    <row r="7" spans="1:6" x14ac:dyDescent="0.25">
      <c r="A7" t="s">
        <v>84</v>
      </c>
      <c r="B7">
        <v>6</v>
      </c>
      <c r="C7">
        <f>Prices!C7-13</f>
        <v>-13</v>
      </c>
      <c r="D7">
        <v>0</v>
      </c>
      <c r="E7" t="s">
        <v>85</v>
      </c>
      <c r="F7">
        <f t="shared" si="0"/>
        <v>0</v>
      </c>
    </row>
    <row r="8" spans="1:6" x14ac:dyDescent="0.25">
      <c r="A8" t="s">
        <v>84</v>
      </c>
      <c r="B8">
        <v>7</v>
      </c>
      <c r="C8">
        <f>Prices!C8-13</f>
        <v>-13</v>
      </c>
      <c r="D8">
        <v>0</v>
      </c>
      <c r="E8" t="s">
        <v>85</v>
      </c>
      <c r="F8">
        <f t="shared" si="0"/>
        <v>0</v>
      </c>
    </row>
    <row r="9" spans="1:6" x14ac:dyDescent="0.25">
      <c r="A9" t="s">
        <v>84</v>
      </c>
      <c r="B9">
        <v>8</v>
      </c>
      <c r="C9">
        <f>Prices!C9-13</f>
        <v>-13</v>
      </c>
      <c r="D9">
        <v>0</v>
      </c>
      <c r="E9" t="s">
        <v>85</v>
      </c>
      <c r="F9">
        <f t="shared" si="0"/>
        <v>0</v>
      </c>
    </row>
    <row r="10" spans="1:6" x14ac:dyDescent="0.25">
      <c r="A10" t="s">
        <v>84</v>
      </c>
      <c r="B10">
        <v>9</v>
      </c>
      <c r="C10">
        <f>Prices!C10-13</f>
        <v>-13</v>
      </c>
      <c r="D10">
        <v>0</v>
      </c>
      <c r="E10" t="s">
        <v>85</v>
      </c>
      <c r="F10">
        <f t="shared" si="0"/>
        <v>0</v>
      </c>
    </row>
    <row r="11" spans="1:6" x14ac:dyDescent="0.25">
      <c r="A11" t="s">
        <v>84</v>
      </c>
      <c r="B11">
        <v>10</v>
      </c>
      <c r="C11">
        <f>Prices!C11-13</f>
        <v>-13</v>
      </c>
      <c r="D11">
        <v>0</v>
      </c>
      <c r="E11" t="s">
        <v>85</v>
      </c>
      <c r="F11">
        <f t="shared" si="0"/>
        <v>0</v>
      </c>
    </row>
    <row r="12" spans="1:6" x14ac:dyDescent="0.25">
      <c r="A12" t="s">
        <v>84</v>
      </c>
      <c r="B12">
        <v>11</v>
      </c>
      <c r="C12">
        <f>Prices!C12-13</f>
        <v>-13</v>
      </c>
      <c r="D12">
        <v>0</v>
      </c>
      <c r="E12" t="s">
        <v>85</v>
      </c>
      <c r="F12">
        <f t="shared" si="0"/>
        <v>0</v>
      </c>
    </row>
    <row r="13" spans="1:6" x14ac:dyDescent="0.25">
      <c r="A13" t="s">
        <v>84</v>
      </c>
      <c r="B13">
        <v>12</v>
      </c>
      <c r="C13">
        <f>Prices!C13-13</f>
        <v>-13</v>
      </c>
      <c r="D13">
        <v>0</v>
      </c>
      <c r="E13" t="s">
        <v>85</v>
      </c>
      <c r="F13">
        <f t="shared" si="0"/>
        <v>0</v>
      </c>
    </row>
    <row r="14" spans="1:6" x14ac:dyDescent="0.25">
      <c r="A14" t="s">
        <v>84</v>
      </c>
      <c r="B14">
        <v>13</v>
      </c>
      <c r="C14">
        <f>Prices!C14-13</f>
        <v>-13</v>
      </c>
      <c r="D14">
        <v>0</v>
      </c>
      <c r="E14" t="s">
        <v>85</v>
      </c>
      <c r="F14">
        <f t="shared" si="0"/>
        <v>0</v>
      </c>
    </row>
    <row r="15" spans="1:6" x14ac:dyDescent="0.25">
      <c r="A15" t="s">
        <v>84</v>
      </c>
      <c r="B15">
        <v>14</v>
      </c>
      <c r="C15">
        <f>Prices!C15-13</f>
        <v>-13</v>
      </c>
      <c r="D15">
        <v>0</v>
      </c>
      <c r="E15" t="s">
        <v>85</v>
      </c>
      <c r="F15">
        <f t="shared" si="0"/>
        <v>0</v>
      </c>
    </row>
    <row r="16" spans="1:6" x14ac:dyDescent="0.25">
      <c r="A16" t="s">
        <v>84</v>
      </c>
      <c r="B16">
        <v>15</v>
      </c>
      <c r="C16">
        <f>Prices!C16-13</f>
        <v>-13</v>
      </c>
      <c r="D16">
        <v>0</v>
      </c>
      <c r="E16" t="s">
        <v>85</v>
      </c>
      <c r="F16">
        <f t="shared" si="0"/>
        <v>0</v>
      </c>
    </row>
    <row r="17" spans="1:6" x14ac:dyDescent="0.25">
      <c r="A17" t="s">
        <v>84</v>
      </c>
      <c r="B17">
        <v>16</v>
      </c>
      <c r="C17">
        <f>Prices!C17-13</f>
        <v>-13</v>
      </c>
      <c r="D17">
        <v>0</v>
      </c>
      <c r="E17" t="s">
        <v>85</v>
      </c>
      <c r="F17">
        <f t="shared" si="0"/>
        <v>0</v>
      </c>
    </row>
    <row r="18" spans="1:6" x14ac:dyDescent="0.25">
      <c r="A18" t="s">
        <v>84</v>
      </c>
      <c r="B18">
        <v>17</v>
      </c>
      <c r="C18">
        <f>Prices!C18-13</f>
        <v>-13</v>
      </c>
      <c r="D18">
        <v>0</v>
      </c>
      <c r="E18" t="s">
        <v>85</v>
      </c>
      <c r="F18">
        <f t="shared" si="0"/>
        <v>0</v>
      </c>
    </row>
    <row r="19" spans="1:6" x14ac:dyDescent="0.25">
      <c r="A19" t="s">
        <v>84</v>
      </c>
      <c r="B19">
        <v>18</v>
      </c>
      <c r="C19">
        <f>Prices!C19-13</f>
        <v>-13</v>
      </c>
      <c r="D19">
        <v>0</v>
      </c>
      <c r="E19" t="s">
        <v>85</v>
      </c>
      <c r="F19">
        <f t="shared" si="0"/>
        <v>0</v>
      </c>
    </row>
    <row r="20" spans="1:6" x14ac:dyDescent="0.25">
      <c r="A20" t="s">
        <v>84</v>
      </c>
      <c r="B20">
        <v>19</v>
      </c>
      <c r="C20">
        <f>Prices!C20-13</f>
        <v>-13</v>
      </c>
      <c r="D20">
        <v>0</v>
      </c>
      <c r="E20" t="s">
        <v>85</v>
      </c>
      <c r="F20">
        <f t="shared" si="0"/>
        <v>0</v>
      </c>
    </row>
    <row r="21" spans="1:6" x14ac:dyDescent="0.25">
      <c r="A21" t="s">
        <v>84</v>
      </c>
      <c r="B21">
        <v>20</v>
      </c>
      <c r="C21">
        <f>Prices!C21-13</f>
        <v>-13</v>
      </c>
      <c r="D21">
        <v>0</v>
      </c>
      <c r="E21" t="s">
        <v>85</v>
      </c>
      <c r="F21">
        <f t="shared" si="0"/>
        <v>0</v>
      </c>
    </row>
    <row r="22" spans="1:6" x14ac:dyDescent="0.25">
      <c r="A22" t="s">
        <v>84</v>
      </c>
      <c r="B22">
        <v>21</v>
      </c>
      <c r="C22">
        <f>Prices!C22-13</f>
        <v>-13</v>
      </c>
      <c r="D22">
        <v>0</v>
      </c>
      <c r="E22" t="s">
        <v>85</v>
      </c>
      <c r="F22">
        <f t="shared" si="0"/>
        <v>0</v>
      </c>
    </row>
    <row r="23" spans="1:6" x14ac:dyDescent="0.25">
      <c r="A23" t="s">
        <v>84</v>
      </c>
      <c r="B23">
        <v>22</v>
      </c>
      <c r="C23">
        <f>Prices!C23-13</f>
        <v>-13</v>
      </c>
      <c r="D23">
        <v>0</v>
      </c>
      <c r="E23" t="s">
        <v>85</v>
      </c>
      <c r="F23">
        <f t="shared" si="0"/>
        <v>0</v>
      </c>
    </row>
    <row r="24" spans="1:6" x14ac:dyDescent="0.25">
      <c r="A24" t="s">
        <v>84</v>
      </c>
      <c r="B24">
        <v>23</v>
      </c>
      <c r="C24">
        <f>Prices!C24-13</f>
        <v>-13</v>
      </c>
      <c r="D24">
        <v>0</v>
      </c>
      <c r="E24" t="s">
        <v>85</v>
      </c>
      <c r="F24">
        <f t="shared" si="0"/>
        <v>0</v>
      </c>
    </row>
    <row r="25" spans="1:6" x14ac:dyDescent="0.25">
      <c r="A25" t="s">
        <v>84</v>
      </c>
      <c r="B25">
        <v>24</v>
      </c>
      <c r="C25">
        <f>Prices!C25-13</f>
        <v>-13</v>
      </c>
      <c r="D25">
        <v>0</v>
      </c>
      <c r="E25" t="s">
        <v>85</v>
      </c>
      <c r="F25">
        <f t="shared" si="0"/>
        <v>0</v>
      </c>
    </row>
    <row r="26" spans="1:6" x14ac:dyDescent="0.25">
      <c r="A26" t="s">
        <v>84</v>
      </c>
      <c r="B26">
        <v>25</v>
      </c>
      <c r="C26">
        <f>Prices!C26-13</f>
        <v>-13</v>
      </c>
      <c r="D26">
        <v>0</v>
      </c>
      <c r="E26" t="s">
        <v>85</v>
      </c>
      <c r="F26">
        <f t="shared" si="0"/>
        <v>0</v>
      </c>
    </row>
    <row r="27" spans="1:6" x14ac:dyDescent="0.25">
      <c r="A27" t="s">
        <v>84</v>
      </c>
      <c r="B27">
        <v>26</v>
      </c>
      <c r="C27">
        <f>Prices!C27-13</f>
        <v>-13</v>
      </c>
      <c r="D27">
        <v>0</v>
      </c>
      <c r="E27" t="s">
        <v>85</v>
      </c>
      <c r="F27">
        <f t="shared" si="0"/>
        <v>0</v>
      </c>
    </row>
    <row r="28" spans="1:6" x14ac:dyDescent="0.25">
      <c r="A28" t="s">
        <v>84</v>
      </c>
      <c r="B28">
        <v>27</v>
      </c>
      <c r="C28">
        <f>Prices!C28-13</f>
        <v>-13</v>
      </c>
      <c r="D28">
        <v>0</v>
      </c>
      <c r="E28" t="s">
        <v>85</v>
      </c>
      <c r="F28">
        <f t="shared" si="0"/>
        <v>0</v>
      </c>
    </row>
    <row r="29" spans="1:6" x14ac:dyDescent="0.25">
      <c r="A29" t="s">
        <v>84</v>
      </c>
      <c r="B29">
        <v>28</v>
      </c>
      <c r="C29">
        <f>Prices!C29-13</f>
        <v>-13</v>
      </c>
      <c r="D29">
        <v>0</v>
      </c>
      <c r="E29" t="s">
        <v>85</v>
      </c>
      <c r="F29">
        <f t="shared" si="0"/>
        <v>0</v>
      </c>
    </row>
    <row r="30" spans="1:6" x14ac:dyDescent="0.25">
      <c r="A30" t="s">
        <v>84</v>
      </c>
      <c r="B30">
        <v>29</v>
      </c>
      <c r="C30">
        <f>Prices!C30-13</f>
        <v>-13</v>
      </c>
      <c r="D30">
        <v>0</v>
      </c>
      <c r="E30" t="s">
        <v>85</v>
      </c>
      <c r="F30">
        <f t="shared" si="0"/>
        <v>0</v>
      </c>
    </row>
    <row r="31" spans="1:6" x14ac:dyDescent="0.25">
      <c r="A31" t="s">
        <v>84</v>
      </c>
      <c r="B31">
        <v>30</v>
      </c>
      <c r="C31">
        <f>Prices!C31-13</f>
        <v>-13</v>
      </c>
      <c r="D31">
        <v>0</v>
      </c>
      <c r="E31" t="s">
        <v>85</v>
      </c>
      <c r="F31">
        <f t="shared" si="0"/>
        <v>0</v>
      </c>
    </row>
    <row r="32" spans="1:6" x14ac:dyDescent="0.25">
      <c r="A32" t="s">
        <v>84</v>
      </c>
      <c r="B32">
        <v>31</v>
      </c>
      <c r="C32">
        <f>Prices!C32-13</f>
        <v>-13</v>
      </c>
      <c r="D32">
        <v>0</v>
      </c>
      <c r="E32" t="s">
        <v>85</v>
      </c>
      <c r="F32">
        <f t="shared" si="0"/>
        <v>0</v>
      </c>
    </row>
    <row r="33" spans="1:6" x14ac:dyDescent="0.25">
      <c r="A33" t="s">
        <v>84</v>
      </c>
      <c r="B33">
        <v>32</v>
      </c>
      <c r="C33">
        <f>Prices!C33-13</f>
        <v>-13</v>
      </c>
      <c r="D33">
        <v>0</v>
      </c>
      <c r="E33" t="s">
        <v>85</v>
      </c>
      <c r="F33">
        <f t="shared" si="0"/>
        <v>0</v>
      </c>
    </row>
    <row r="34" spans="1:6" x14ac:dyDescent="0.25">
      <c r="A34" t="s">
        <v>84</v>
      </c>
      <c r="B34">
        <v>33</v>
      </c>
      <c r="C34">
        <f>Prices!C34-13</f>
        <v>-13</v>
      </c>
      <c r="D34">
        <v>0</v>
      </c>
      <c r="E34" t="s">
        <v>85</v>
      </c>
      <c r="F34">
        <f t="shared" ref="F34:F65" si="1">C34*D34/4</f>
        <v>0</v>
      </c>
    </row>
    <row r="35" spans="1:6" x14ac:dyDescent="0.25">
      <c r="A35" t="s">
        <v>84</v>
      </c>
      <c r="B35">
        <v>34</v>
      </c>
      <c r="C35">
        <f>Prices!C35-13</f>
        <v>-13</v>
      </c>
      <c r="D35">
        <v>0</v>
      </c>
      <c r="E35" t="s">
        <v>85</v>
      </c>
      <c r="F35">
        <f t="shared" si="1"/>
        <v>0</v>
      </c>
    </row>
    <row r="36" spans="1:6" x14ac:dyDescent="0.25">
      <c r="A36" t="s">
        <v>84</v>
      </c>
      <c r="B36">
        <v>35</v>
      </c>
      <c r="C36">
        <f>Prices!C36-13</f>
        <v>-13</v>
      </c>
      <c r="D36">
        <v>0</v>
      </c>
      <c r="E36" t="s">
        <v>85</v>
      </c>
      <c r="F36">
        <f t="shared" si="1"/>
        <v>0</v>
      </c>
    </row>
    <row r="37" spans="1:6" x14ac:dyDescent="0.25">
      <c r="A37" t="s">
        <v>84</v>
      </c>
      <c r="B37">
        <v>36</v>
      </c>
      <c r="C37">
        <f>Prices!C37-13</f>
        <v>-13</v>
      </c>
      <c r="D37">
        <v>0</v>
      </c>
      <c r="E37" t="s">
        <v>85</v>
      </c>
      <c r="F37">
        <f t="shared" si="1"/>
        <v>0</v>
      </c>
    </row>
    <row r="38" spans="1:6" x14ac:dyDescent="0.25">
      <c r="A38" t="s">
        <v>84</v>
      </c>
      <c r="B38">
        <v>37</v>
      </c>
      <c r="C38">
        <f>Prices!C38-13</f>
        <v>-13</v>
      </c>
      <c r="D38">
        <v>0</v>
      </c>
      <c r="E38" t="s">
        <v>85</v>
      </c>
      <c r="F38">
        <f t="shared" si="1"/>
        <v>0</v>
      </c>
    </row>
    <row r="39" spans="1:6" x14ac:dyDescent="0.25">
      <c r="A39" t="s">
        <v>84</v>
      </c>
      <c r="B39">
        <v>38</v>
      </c>
      <c r="C39">
        <f>Prices!C39-13</f>
        <v>-13</v>
      </c>
      <c r="D39">
        <v>0</v>
      </c>
      <c r="E39" t="s">
        <v>85</v>
      </c>
      <c r="F39">
        <f t="shared" si="1"/>
        <v>0</v>
      </c>
    </row>
    <row r="40" spans="1:6" x14ac:dyDescent="0.25">
      <c r="A40" t="s">
        <v>84</v>
      </c>
      <c r="B40">
        <v>39</v>
      </c>
      <c r="C40">
        <f>Prices!C40-13</f>
        <v>-13</v>
      </c>
      <c r="D40">
        <v>0</v>
      </c>
      <c r="E40" t="s">
        <v>85</v>
      </c>
      <c r="F40">
        <f t="shared" si="1"/>
        <v>0</v>
      </c>
    </row>
    <row r="41" spans="1:6" x14ac:dyDescent="0.25">
      <c r="A41" t="s">
        <v>84</v>
      </c>
      <c r="B41">
        <v>40</v>
      </c>
      <c r="C41">
        <f>Prices!C41-13</f>
        <v>-13</v>
      </c>
      <c r="D41">
        <v>0</v>
      </c>
      <c r="E41" t="s">
        <v>85</v>
      </c>
      <c r="F41">
        <f t="shared" si="1"/>
        <v>0</v>
      </c>
    </row>
    <row r="42" spans="1:6" x14ac:dyDescent="0.25">
      <c r="A42" t="s">
        <v>84</v>
      </c>
      <c r="B42">
        <v>41</v>
      </c>
      <c r="C42">
        <f>Prices!C42-13</f>
        <v>-13</v>
      </c>
      <c r="D42">
        <v>0</v>
      </c>
      <c r="E42" t="s">
        <v>85</v>
      </c>
      <c r="F42">
        <f t="shared" si="1"/>
        <v>0</v>
      </c>
    </row>
    <row r="43" spans="1:6" x14ac:dyDescent="0.25">
      <c r="A43" t="s">
        <v>84</v>
      </c>
      <c r="B43">
        <v>42</v>
      </c>
      <c r="C43">
        <f>Prices!C43-13</f>
        <v>-13</v>
      </c>
      <c r="D43">
        <v>0</v>
      </c>
      <c r="E43" t="s">
        <v>85</v>
      </c>
      <c r="F43">
        <f t="shared" si="1"/>
        <v>0</v>
      </c>
    </row>
    <row r="44" spans="1:6" x14ac:dyDescent="0.25">
      <c r="A44" t="s">
        <v>84</v>
      </c>
      <c r="B44">
        <v>43</v>
      </c>
      <c r="C44">
        <f>Prices!C44-13</f>
        <v>-13</v>
      </c>
      <c r="D44">
        <v>0</v>
      </c>
      <c r="E44" t="s">
        <v>85</v>
      </c>
      <c r="F44">
        <f t="shared" si="1"/>
        <v>0</v>
      </c>
    </row>
    <row r="45" spans="1:6" x14ac:dyDescent="0.25">
      <c r="A45" t="s">
        <v>84</v>
      </c>
      <c r="B45">
        <v>44</v>
      </c>
      <c r="C45">
        <f>Prices!C45-13</f>
        <v>-13</v>
      </c>
      <c r="D45">
        <v>0</v>
      </c>
      <c r="E45" t="s">
        <v>85</v>
      </c>
      <c r="F45">
        <f t="shared" si="1"/>
        <v>0</v>
      </c>
    </row>
    <row r="46" spans="1:6" x14ac:dyDescent="0.25">
      <c r="A46" t="s">
        <v>84</v>
      </c>
      <c r="B46">
        <v>45</v>
      </c>
      <c r="C46">
        <f>Prices!C46-13</f>
        <v>-13</v>
      </c>
      <c r="D46">
        <v>0</v>
      </c>
      <c r="E46" t="s">
        <v>85</v>
      </c>
      <c r="F46">
        <f t="shared" si="1"/>
        <v>0</v>
      </c>
    </row>
    <row r="47" spans="1:6" x14ac:dyDescent="0.25">
      <c r="A47" t="s">
        <v>84</v>
      </c>
      <c r="B47">
        <v>46</v>
      </c>
      <c r="C47">
        <f>Prices!C47-13</f>
        <v>-13</v>
      </c>
      <c r="D47">
        <v>0</v>
      </c>
      <c r="E47" t="s">
        <v>85</v>
      </c>
      <c r="F47">
        <f t="shared" si="1"/>
        <v>0</v>
      </c>
    </row>
    <row r="48" spans="1:6" x14ac:dyDescent="0.25">
      <c r="A48" t="s">
        <v>84</v>
      </c>
      <c r="B48">
        <v>47</v>
      </c>
      <c r="C48">
        <f>Prices!C48-13</f>
        <v>-13</v>
      </c>
      <c r="D48">
        <v>0</v>
      </c>
      <c r="E48" t="s">
        <v>85</v>
      </c>
      <c r="F48">
        <f t="shared" si="1"/>
        <v>0</v>
      </c>
    </row>
    <row r="49" spans="1:6" x14ac:dyDescent="0.25">
      <c r="A49" t="s">
        <v>84</v>
      </c>
      <c r="B49">
        <v>48</v>
      </c>
      <c r="C49">
        <f>Prices!C49-13</f>
        <v>-13</v>
      </c>
      <c r="D49">
        <v>0</v>
      </c>
      <c r="E49" t="s">
        <v>85</v>
      </c>
      <c r="F49">
        <f t="shared" si="1"/>
        <v>0</v>
      </c>
    </row>
    <row r="50" spans="1:6" x14ac:dyDescent="0.25">
      <c r="A50" t="s">
        <v>84</v>
      </c>
      <c r="B50">
        <v>49</v>
      </c>
      <c r="C50">
        <f>Prices!C50-13</f>
        <v>-13</v>
      </c>
      <c r="D50">
        <v>0</v>
      </c>
      <c r="E50" t="s">
        <v>85</v>
      </c>
      <c r="F50">
        <f t="shared" si="1"/>
        <v>0</v>
      </c>
    </row>
    <row r="51" spans="1:6" x14ac:dyDescent="0.25">
      <c r="A51" t="s">
        <v>84</v>
      </c>
      <c r="B51">
        <v>50</v>
      </c>
      <c r="C51">
        <f>Prices!C51-13</f>
        <v>-13</v>
      </c>
      <c r="D51">
        <v>0</v>
      </c>
      <c r="E51" t="s">
        <v>85</v>
      </c>
      <c r="F51">
        <f t="shared" si="1"/>
        <v>0</v>
      </c>
    </row>
    <row r="52" spans="1:6" x14ac:dyDescent="0.25">
      <c r="A52" t="s">
        <v>84</v>
      </c>
      <c r="B52">
        <v>51</v>
      </c>
      <c r="C52">
        <f>Prices!C52-13</f>
        <v>-13</v>
      </c>
      <c r="D52">
        <v>0</v>
      </c>
      <c r="E52" t="s">
        <v>85</v>
      </c>
      <c r="F52">
        <f t="shared" si="1"/>
        <v>0</v>
      </c>
    </row>
    <row r="53" spans="1:6" x14ac:dyDescent="0.25">
      <c r="A53" t="s">
        <v>84</v>
      </c>
      <c r="B53">
        <v>52</v>
      </c>
      <c r="C53">
        <f>Prices!C53-13</f>
        <v>-13</v>
      </c>
      <c r="D53">
        <v>0</v>
      </c>
      <c r="E53" t="s">
        <v>85</v>
      </c>
      <c r="F53">
        <f t="shared" si="1"/>
        <v>0</v>
      </c>
    </row>
    <row r="54" spans="1:6" x14ac:dyDescent="0.25">
      <c r="A54" t="s">
        <v>84</v>
      </c>
      <c r="B54">
        <v>53</v>
      </c>
      <c r="C54">
        <f>Prices!C54-13</f>
        <v>-13</v>
      </c>
      <c r="D54">
        <v>0</v>
      </c>
      <c r="E54" t="s">
        <v>85</v>
      </c>
      <c r="F54">
        <f t="shared" si="1"/>
        <v>0</v>
      </c>
    </row>
    <row r="55" spans="1:6" x14ac:dyDescent="0.25">
      <c r="A55" t="s">
        <v>84</v>
      </c>
      <c r="B55">
        <v>54</v>
      </c>
      <c r="C55">
        <f>Prices!C55-13</f>
        <v>-13</v>
      </c>
      <c r="D55">
        <v>0</v>
      </c>
      <c r="E55" t="s">
        <v>85</v>
      </c>
      <c r="F55">
        <f t="shared" si="1"/>
        <v>0</v>
      </c>
    </row>
    <row r="56" spans="1:6" x14ac:dyDescent="0.25">
      <c r="A56" t="s">
        <v>84</v>
      </c>
      <c r="B56">
        <v>55</v>
      </c>
      <c r="C56">
        <f>Prices!C56-13</f>
        <v>-13</v>
      </c>
      <c r="D56">
        <v>0</v>
      </c>
      <c r="E56" t="s">
        <v>85</v>
      </c>
      <c r="F56">
        <f t="shared" si="1"/>
        <v>0</v>
      </c>
    </row>
    <row r="57" spans="1:6" x14ac:dyDescent="0.25">
      <c r="A57" t="s">
        <v>84</v>
      </c>
      <c r="B57">
        <v>56</v>
      </c>
      <c r="C57">
        <f>Prices!C57-13</f>
        <v>-13</v>
      </c>
      <c r="D57">
        <v>0</v>
      </c>
      <c r="E57" t="s">
        <v>85</v>
      </c>
      <c r="F57">
        <f t="shared" si="1"/>
        <v>0</v>
      </c>
    </row>
    <row r="58" spans="1:6" x14ac:dyDescent="0.25">
      <c r="A58" t="s">
        <v>84</v>
      </c>
      <c r="B58">
        <v>57</v>
      </c>
      <c r="C58">
        <f>Prices!C58-13</f>
        <v>-13</v>
      </c>
      <c r="D58">
        <v>0</v>
      </c>
      <c r="E58" t="s">
        <v>85</v>
      </c>
      <c r="F58">
        <f t="shared" si="1"/>
        <v>0</v>
      </c>
    </row>
    <row r="59" spans="1:6" x14ac:dyDescent="0.25">
      <c r="A59" t="s">
        <v>84</v>
      </c>
      <c r="B59">
        <v>58</v>
      </c>
      <c r="C59">
        <f>Prices!C59-13</f>
        <v>-13</v>
      </c>
      <c r="D59">
        <v>0</v>
      </c>
      <c r="E59" t="s">
        <v>85</v>
      </c>
      <c r="F59">
        <f t="shared" si="1"/>
        <v>0</v>
      </c>
    </row>
    <row r="60" spans="1:6" x14ac:dyDescent="0.25">
      <c r="A60" t="s">
        <v>84</v>
      </c>
      <c r="B60">
        <v>59</v>
      </c>
      <c r="C60">
        <f>Prices!C60-13</f>
        <v>-13</v>
      </c>
      <c r="D60">
        <v>0</v>
      </c>
      <c r="E60" t="s">
        <v>85</v>
      </c>
      <c r="F60">
        <f t="shared" si="1"/>
        <v>0</v>
      </c>
    </row>
    <row r="61" spans="1:6" x14ac:dyDescent="0.25">
      <c r="A61" t="s">
        <v>84</v>
      </c>
      <c r="B61">
        <v>60</v>
      </c>
      <c r="C61">
        <f>Prices!C61-13</f>
        <v>-13</v>
      </c>
      <c r="D61">
        <v>0</v>
      </c>
      <c r="E61" t="s">
        <v>85</v>
      </c>
      <c r="F61">
        <f t="shared" si="1"/>
        <v>0</v>
      </c>
    </row>
    <row r="62" spans="1:6" x14ac:dyDescent="0.25">
      <c r="A62" t="s">
        <v>84</v>
      </c>
      <c r="B62">
        <v>61</v>
      </c>
      <c r="C62">
        <f>Prices!C62-13</f>
        <v>-13</v>
      </c>
      <c r="D62">
        <v>0</v>
      </c>
      <c r="E62" t="s">
        <v>85</v>
      </c>
      <c r="F62">
        <f t="shared" si="1"/>
        <v>0</v>
      </c>
    </row>
    <row r="63" spans="1:6" x14ac:dyDescent="0.25">
      <c r="A63" t="s">
        <v>84</v>
      </c>
      <c r="B63">
        <v>62</v>
      </c>
      <c r="C63">
        <f>Prices!C63-13</f>
        <v>-13</v>
      </c>
      <c r="D63">
        <v>0</v>
      </c>
      <c r="E63" t="s">
        <v>85</v>
      </c>
      <c r="F63">
        <f t="shared" si="1"/>
        <v>0</v>
      </c>
    </row>
    <row r="64" spans="1:6" x14ac:dyDescent="0.25">
      <c r="A64" t="s">
        <v>84</v>
      </c>
      <c r="B64">
        <v>63</v>
      </c>
      <c r="C64">
        <f>Prices!C64-13</f>
        <v>-13</v>
      </c>
      <c r="D64">
        <v>0</v>
      </c>
      <c r="E64" t="s">
        <v>85</v>
      </c>
      <c r="F64">
        <f t="shared" si="1"/>
        <v>0</v>
      </c>
    </row>
    <row r="65" spans="1:6" x14ac:dyDescent="0.25">
      <c r="A65" t="s">
        <v>84</v>
      </c>
      <c r="B65">
        <v>64</v>
      </c>
      <c r="C65">
        <f>Prices!C65-13</f>
        <v>-13</v>
      </c>
      <c r="D65">
        <v>0</v>
      </c>
      <c r="E65" t="s">
        <v>85</v>
      </c>
      <c r="F65">
        <f t="shared" si="1"/>
        <v>0</v>
      </c>
    </row>
    <row r="66" spans="1:6" x14ac:dyDescent="0.25">
      <c r="A66" t="s">
        <v>84</v>
      </c>
      <c r="B66">
        <v>65</v>
      </c>
      <c r="C66">
        <f>Prices!C66-13</f>
        <v>-13</v>
      </c>
      <c r="D66">
        <v>0</v>
      </c>
      <c r="E66" t="s">
        <v>85</v>
      </c>
      <c r="F66">
        <f t="shared" ref="F66:F97" si="2">C66*D66/4</f>
        <v>0</v>
      </c>
    </row>
    <row r="67" spans="1:6" x14ac:dyDescent="0.25">
      <c r="A67" t="s">
        <v>84</v>
      </c>
      <c r="B67">
        <v>66</v>
      </c>
      <c r="C67">
        <f>Prices!C67-13</f>
        <v>-13</v>
      </c>
      <c r="D67">
        <v>0</v>
      </c>
      <c r="E67" t="s">
        <v>85</v>
      </c>
      <c r="F67">
        <f t="shared" si="2"/>
        <v>0</v>
      </c>
    </row>
    <row r="68" spans="1:6" x14ac:dyDescent="0.25">
      <c r="A68" t="s">
        <v>84</v>
      </c>
      <c r="B68">
        <v>67</v>
      </c>
      <c r="C68">
        <f>Prices!C68-13</f>
        <v>-13</v>
      </c>
      <c r="D68">
        <v>0</v>
      </c>
      <c r="E68" t="s">
        <v>85</v>
      </c>
      <c r="F68">
        <f t="shared" si="2"/>
        <v>0</v>
      </c>
    </row>
    <row r="69" spans="1:6" x14ac:dyDescent="0.25">
      <c r="A69" t="s">
        <v>84</v>
      </c>
      <c r="B69">
        <v>68</v>
      </c>
      <c r="C69">
        <f>Prices!C69-13</f>
        <v>-13</v>
      </c>
      <c r="D69">
        <v>0</v>
      </c>
      <c r="E69" t="s">
        <v>85</v>
      </c>
      <c r="F69">
        <f t="shared" si="2"/>
        <v>0</v>
      </c>
    </row>
    <row r="70" spans="1:6" x14ac:dyDescent="0.25">
      <c r="A70" t="s">
        <v>84</v>
      </c>
      <c r="B70">
        <v>69</v>
      </c>
      <c r="C70">
        <f>Prices!C70-13</f>
        <v>-13</v>
      </c>
      <c r="D70">
        <v>0</v>
      </c>
      <c r="E70" t="s">
        <v>85</v>
      </c>
      <c r="F70">
        <f t="shared" si="2"/>
        <v>0</v>
      </c>
    </row>
    <row r="71" spans="1:6" x14ac:dyDescent="0.25">
      <c r="A71" t="s">
        <v>84</v>
      </c>
      <c r="B71">
        <v>70</v>
      </c>
      <c r="C71">
        <f>Prices!C71-13</f>
        <v>-13</v>
      </c>
      <c r="D71">
        <v>0</v>
      </c>
      <c r="E71" t="s">
        <v>85</v>
      </c>
      <c r="F71">
        <f t="shared" si="2"/>
        <v>0</v>
      </c>
    </row>
    <row r="72" spans="1:6" x14ac:dyDescent="0.25">
      <c r="A72" t="s">
        <v>84</v>
      </c>
      <c r="B72">
        <v>71</v>
      </c>
      <c r="C72">
        <f>Prices!C72-13</f>
        <v>-13</v>
      </c>
      <c r="D72">
        <v>0</v>
      </c>
      <c r="E72" t="s">
        <v>85</v>
      </c>
      <c r="F72">
        <f t="shared" si="2"/>
        <v>0</v>
      </c>
    </row>
    <row r="73" spans="1:6" x14ac:dyDescent="0.25">
      <c r="A73" t="s">
        <v>84</v>
      </c>
      <c r="B73">
        <v>72</v>
      </c>
      <c r="C73">
        <f>Prices!C73-13</f>
        <v>-13</v>
      </c>
      <c r="D73">
        <v>0</v>
      </c>
      <c r="E73" t="s">
        <v>85</v>
      </c>
      <c r="F73">
        <f t="shared" si="2"/>
        <v>0</v>
      </c>
    </row>
    <row r="74" spans="1:6" x14ac:dyDescent="0.25">
      <c r="A74" t="s">
        <v>84</v>
      </c>
      <c r="B74">
        <v>73</v>
      </c>
      <c r="C74">
        <f>Prices!C74-13</f>
        <v>-13</v>
      </c>
      <c r="D74">
        <v>0</v>
      </c>
      <c r="E74" t="s">
        <v>85</v>
      </c>
      <c r="F74">
        <f t="shared" si="2"/>
        <v>0</v>
      </c>
    </row>
    <row r="75" spans="1:6" x14ac:dyDescent="0.25">
      <c r="A75" t="s">
        <v>84</v>
      </c>
      <c r="B75">
        <v>74</v>
      </c>
      <c r="C75">
        <f>Prices!C75-13</f>
        <v>-13</v>
      </c>
      <c r="D75">
        <v>0</v>
      </c>
      <c r="E75" t="s">
        <v>85</v>
      </c>
      <c r="F75">
        <f t="shared" si="2"/>
        <v>0</v>
      </c>
    </row>
    <row r="76" spans="1:6" x14ac:dyDescent="0.25">
      <c r="A76" t="s">
        <v>84</v>
      </c>
      <c r="B76">
        <v>75</v>
      </c>
      <c r="C76">
        <f>Prices!C76-13</f>
        <v>-13</v>
      </c>
      <c r="D76">
        <v>0</v>
      </c>
      <c r="E76" t="s">
        <v>85</v>
      </c>
      <c r="F76">
        <f t="shared" si="2"/>
        <v>0</v>
      </c>
    </row>
    <row r="77" spans="1:6" x14ac:dyDescent="0.25">
      <c r="A77" t="s">
        <v>84</v>
      </c>
      <c r="B77">
        <v>76</v>
      </c>
      <c r="C77">
        <f>Prices!C77-13</f>
        <v>-13</v>
      </c>
      <c r="D77">
        <v>0</v>
      </c>
      <c r="E77" t="s">
        <v>85</v>
      </c>
      <c r="F77">
        <f t="shared" si="2"/>
        <v>0</v>
      </c>
    </row>
    <row r="78" spans="1:6" x14ac:dyDescent="0.25">
      <c r="A78" t="s">
        <v>84</v>
      </c>
      <c r="B78">
        <v>77</v>
      </c>
      <c r="C78">
        <f>Prices!C78-13</f>
        <v>-13</v>
      </c>
      <c r="D78">
        <v>0</v>
      </c>
      <c r="E78" t="s">
        <v>85</v>
      </c>
      <c r="F78">
        <f t="shared" si="2"/>
        <v>0</v>
      </c>
    </row>
    <row r="79" spans="1:6" x14ac:dyDescent="0.25">
      <c r="A79" t="s">
        <v>84</v>
      </c>
      <c r="B79">
        <v>78</v>
      </c>
      <c r="C79">
        <f>Prices!C79-13</f>
        <v>-13</v>
      </c>
      <c r="D79">
        <v>0</v>
      </c>
      <c r="E79" t="s">
        <v>85</v>
      </c>
      <c r="F79">
        <f t="shared" si="2"/>
        <v>0</v>
      </c>
    </row>
    <row r="80" spans="1:6" x14ac:dyDescent="0.25">
      <c r="A80" t="s">
        <v>84</v>
      </c>
      <c r="B80">
        <v>79</v>
      </c>
      <c r="C80">
        <f>Prices!C80-13</f>
        <v>-13</v>
      </c>
      <c r="D80">
        <v>0</v>
      </c>
      <c r="E80" t="s">
        <v>85</v>
      </c>
      <c r="F80">
        <f t="shared" si="2"/>
        <v>0</v>
      </c>
    </row>
    <row r="81" spans="1:6" x14ac:dyDescent="0.25">
      <c r="A81" t="s">
        <v>84</v>
      </c>
      <c r="B81">
        <v>80</v>
      </c>
      <c r="C81">
        <f>Prices!C81-13</f>
        <v>-13</v>
      </c>
      <c r="D81">
        <v>0</v>
      </c>
      <c r="E81" t="s">
        <v>85</v>
      </c>
      <c r="F81">
        <f t="shared" si="2"/>
        <v>0</v>
      </c>
    </row>
    <row r="82" spans="1:6" x14ac:dyDescent="0.25">
      <c r="A82" t="s">
        <v>84</v>
      </c>
      <c r="B82">
        <v>81</v>
      </c>
      <c r="C82">
        <f>Prices!C82-13</f>
        <v>-13</v>
      </c>
      <c r="D82">
        <v>0</v>
      </c>
      <c r="E82" t="s">
        <v>85</v>
      </c>
      <c r="F82">
        <f t="shared" si="2"/>
        <v>0</v>
      </c>
    </row>
    <row r="83" spans="1:6" x14ac:dyDescent="0.25">
      <c r="A83" t="s">
        <v>84</v>
      </c>
      <c r="B83">
        <v>82</v>
      </c>
      <c r="C83">
        <f>Prices!C83-13</f>
        <v>-13</v>
      </c>
      <c r="D83">
        <v>0</v>
      </c>
      <c r="E83" t="s">
        <v>85</v>
      </c>
      <c r="F83">
        <f t="shared" si="2"/>
        <v>0</v>
      </c>
    </row>
    <row r="84" spans="1:6" x14ac:dyDescent="0.25">
      <c r="A84" t="s">
        <v>84</v>
      </c>
      <c r="B84">
        <v>83</v>
      </c>
      <c r="C84">
        <f>Prices!C84-13</f>
        <v>-13</v>
      </c>
      <c r="D84">
        <v>0</v>
      </c>
      <c r="E84" t="s">
        <v>85</v>
      </c>
      <c r="F84">
        <f t="shared" si="2"/>
        <v>0</v>
      </c>
    </row>
    <row r="85" spans="1:6" x14ac:dyDescent="0.25">
      <c r="A85" t="s">
        <v>84</v>
      </c>
      <c r="B85">
        <v>84</v>
      </c>
      <c r="C85">
        <f>Prices!C85-13</f>
        <v>-13</v>
      </c>
      <c r="D85">
        <v>0</v>
      </c>
      <c r="E85" t="s">
        <v>85</v>
      </c>
      <c r="F85">
        <f t="shared" si="2"/>
        <v>0</v>
      </c>
    </row>
    <row r="86" spans="1:6" x14ac:dyDescent="0.25">
      <c r="A86" t="s">
        <v>84</v>
      </c>
      <c r="B86">
        <v>85</v>
      </c>
      <c r="C86">
        <f>Prices!C86-13</f>
        <v>-13</v>
      </c>
      <c r="D86">
        <v>0</v>
      </c>
      <c r="E86" t="s">
        <v>85</v>
      </c>
      <c r="F86">
        <f t="shared" si="2"/>
        <v>0</v>
      </c>
    </row>
    <row r="87" spans="1:6" x14ac:dyDescent="0.25">
      <c r="A87" t="s">
        <v>84</v>
      </c>
      <c r="B87">
        <v>86</v>
      </c>
      <c r="C87">
        <f>Prices!C87-13</f>
        <v>-13</v>
      </c>
      <c r="D87">
        <v>0</v>
      </c>
      <c r="E87" t="s">
        <v>85</v>
      </c>
      <c r="F87">
        <f t="shared" si="2"/>
        <v>0</v>
      </c>
    </row>
    <row r="88" spans="1:6" x14ac:dyDescent="0.25">
      <c r="A88" t="s">
        <v>84</v>
      </c>
      <c r="B88">
        <v>87</v>
      </c>
      <c r="C88">
        <f>Prices!C88-13</f>
        <v>-13</v>
      </c>
      <c r="D88">
        <v>0</v>
      </c>
      <c r="E88" t="s">
        <v>85</v>
      </c>
      <c r="F88">
        <f t="shared" si="2"/>
        <v>0</v>
      </c>
    </row>
    <row r="89" spans="1:6" x14ac:dyDescent="0.25">
      <c r="A89" t="s">
        <v>84</v>
      </c>
      <c r="B89">
        <v>88</v>
      </c>
      <c r="C89">
        <f>Prices!C89-13</f>
        <v>-13</v>
      </c>
      <c r="D89">
        <v>0</v>
      </c>
      <c r="E89" t="s">
        <v>85</v>
      </c>
      <c r="F89">
        <f t="shared" si="2"/>
        <v>0</v>
      </c>
    </row>
    <row r="90" spans="1:6" x14ac:dyDescent="0.25">
      <c r="A90" t="s">
        <v>84</v>
      </c>
      <c r="B90">
        <v>89</v>
      </c>
      <c r="C90">
        <f>Prices!C90-13</f>
        <v>-13</v>
      </c>
      <c r="D90">
        <v>0</v>
      </c>
      <c r="E90" t="s">
        <v>85</v>
      </c>
      <c r="F90">
        <f t="shared" si="2"/>
        <v>0</v>
      </c>
    </row>
    <row r="91" spans="1:6" x14ac:dyDescent="0.25">
      <c r="A91" t="s">
        <v>84</v>
      </c>
      <c r="B91">
        <v>90</v>
      </c>
      <c r="C91">
        <f>Prices!C91-13</f>
        <v>-13</v>
      </c>
      <c r="D91">
        <v>0</v>
      </c>
      <c r="E91" t="s">
        <v>85</v>
      </c>
      <c r="F91">
        <f t="shared" si="2"/>
        <v>0</v>
      </c>
    </row>
    <row r="92" spans="1:6" x14ac:dyDescent="0.25">
      <c r="A92" t="s">
        <v>84</v>
      </c>
      <c r="B92">
        <v>91</v>
      </c>
      <c r="C92">
        <f>Prices!C92-13</f>
        <v>-13</v>
      </c>
      <c r="D92">
        <v>0</v>
      </c>
      <c r="E92" t="s">
        <v>85</v>
      </c>
      <c r="F92">
        <f t="shared" si="2"/>
        <v>0</v>
      </c>
    </row>
    <row r="93" spans="1:6" x14ac:dyDescent="0.25">
      <c r="A93" t="s">
        <v>84</v>
      </c>
      <c r="B93">
        <v>92</v>
      </c>
      <c r="C93">
        <f>Prices!C93-13</f>
        <v>-13</v>
      </c>
      <c r="D93">
        <v>0</v>
      </c>
      <c r="E93" t="s">
        <v>85</v>
      </c>
      <c r="F93">
        <f t="shared" si="2"/>
        <v>0</v>
      </c>
    </row>
    <row r="94" spans="1:6" x14ac:dyDescent="0.25">
      <c r="A94" t="s">
        <v>84</v>
      </c>
      <c r="B94">
        <v>93</v>
      </c>
      <c r="C94">
        <f>Prices!C94-13</f>
        <v>-13</v>
      </c>
      <c r="D94">
        <v>0</v>
      </c>
      <c r="E94" t="s">
        <v>85</v>
      </c>
      <c r="F94">
        <f t="shared" si="2"/>
        <v>0</v>
      </c>
    </row>
    <row r="95" spans="1:6" x14ac:dyDescent="0.25">
      <c r="A95" t="s">
        <v>84</v>
      </c>
      <c r="B95">
        <v>94</v>
      </c>
      <c r="C95">
        <f>Prices!C95-13</f>
        <v>-13</v>
      </c>
      <c r="D95">
        <v>0</v>
      </c>
      <c r="E95" t="s">
        <v>85</v>
      </c>
      <c r="F95">
        <f t="shared" si="2"/>
        <v>0</v>
      </c>
    </row>
    <row r="96" spans="1:6" x14ac:dyDescent="0.25">
      <c r="A96" t="s">
        <v>84</v>
      </c>
      <c r="B96">
        <v>95</v>
      </c>
      <c r="C96">
        <f>Prices!C96-13</f>
        <v>-13</v>
      </c>
      <c r="D96">
        <v>0</v>
      </c>
      <c r="E96" t="s">
        <v>85</v>
      </c>
      <c r="F96">
        <f t="shared" si="2"/>
        <v>0</v>
      </c>
    </row>
    <row r="97" spans="1:6" x14ac:dyDescent="0.25">
      <c r="A97" t="s">
        <v>84</v>
      </c>
      <c r="B97">
        <v>96</v>
      </c>
      <c r="C97">
        <f>Prices!C97-13</f>
        <v>-13</v>
      </c>
      <c r="D97">
        <v>0</v>
      </c>
      <c r="E97" t="s">
        <v>85</v>
      </c>
      <c r="F97">
        <f t="shared" si="2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2"/>
  <dimension ref="A1:F97"/>
  <sheetViews>
    <sheetView topLeftCell="A28" workbookViewId="0">
      <selection activeCell="N52" sqref="N52"/>
    </sheetView>
  </sheetViews>
  <sheetFormatPr defaultRowHeight="15" x14ac:dyDescent="0.25"/>
  <cols>
    <col min="2" max="2" width="7.5703125" bestFit="1" customWidth="1"/>
    <col min="3" max="3" width="6" bestFit="1" customWidth="1"/>
    <col min="4" max="4" width="4.42578125" bestFit="1" customWidth="1"/>
    <col min="5" max="5" width="6.85546875" bestFit="1" customWidth="1"/>
  </cols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Prices!C2-18</f>
        <v>-18</v>
      </c>
      <c r="D2">
        <v>5</v>
      </c>
      <c r="E2" t="s">
        <v>85</v>
      </c>
      <c r="F2">
        <f t="shared" ref="F2:F33" si="0">C2*D2/4</f>
        <v>-22.5</v>
      </c>
    </row>
    <row r="3" spans="1:6" x14ac:dyDescent="0.25">
      <c r="A3" t="s">
        <v>84</v>
      </c>
      <c r="B3">
        <v>2</v>
      </c>
      <c r="C3">
        <f>Prices!C3-18</f>
        <v>-18</v>
      </c>
      <c r="D3">
        <v>5</v>
      </c>
      <c r="E3" t="s">
        <v>85</v>
      </c>
      <c r="F3">
        <f t="shared" si="0"/>
        <v>-22.5</v>
      </c>
    </row>
    <row r="4" spans="1:6" x14ac:dyDescent="0.25">
      <c r="A4" t="s">
        <v>84</v>
      </c>
      <c r="B4">
        <v>3</v>
      </c>
      <c r="C4">
        <f>Prices!C4-18</f>
        <v>-18</v>
      </c>
      <c r="D4">
        <v>5</v>
      </c>
      <c r="E4" t="s">
        <v>85</v>
      </c>
      <c r="F4">
        <f t="shared" si="0"/>
        <v>-22.5</v>
      </c>
    </row>
    <row r="5" spans="1:6" x14ac:dyDescent="0.25">
      <c r="A5" t="s">
        <v>84</v>
      </c>
      <c r="B5">
        <v>4</v>
      </c>
      <c r="C5">
        <f>Prices!C5-18</f>
        <v>-18</v>
      </c>
      <c r="D5">
        <v>5</v>
      </c>
      <c r="E5" t="s">
        <v>85</v>
      </c>
      <c r="F5">
        <f t="shared" si="0"/>
        <v>-22.5</v>
      </c>
    </row>
    <row r="6" spans="1:6" x14ac:dyDescent="0.25">
      <c r="A6" t="s">
        <v>84</v>
      </c>
      <c r="B6">
        <v>5</v>
      </c>
      <c r="C6">
        <f>Prices!C6-18</f>
        <v>-18</v>
      </c>
      <c r="D6">
        <v>5</v>
      </c>
      <c r="E6" t="s">
        <v>85</v>
      </c>
      <c r="F6">
        <f t="shared" si="0"/>
        <v>-22.5</v>
      </c>
    </row>
    <row r="7" spans="1:6" x14ac:dyDescent="0.25">
      <c r="A7" t="s">
        <v>84</v>
      </c>
      <c r="B7">
        <v>6</v>
      </c>
      <c r="C7">
        <f>Prices!C7-18</f>
        <v>-18</v>
      </c>
      <c r="D7">
        <v>5</v>
      </c>
      <c r="E7" t="s">
        <v>85</v>
      </c>
      <c r="F7">
        <f t="shared" si="0"/>
        <v>-22.5</v>
      </c>
    </row>
    <row r="8" spans="1:6" x14ac:dyDescent="0.25">
      <c r="A8" t="s">
        <v>84</v>
      </c>
      <c r="B8">
        <v>7</v>
      </c>
      <c r="C8">
        <f>Prices!C8-18</f>
        <v>-18</v>
      </c>
      <c r="D8">
        <v>5</v>
      </c>
      <c r="E8" t="s">
        <v>85</v>
      </c>
      <c r="F8">
        <f t="shared" si="0"/>
        <v>-22.5</v>
      </c>
    </row>
    <row r="9" spans="1:6" x14ac:dyDescent="0.25">
      <c r="A9" t="s">
        <v>84</v>
      </c>
      <c r="B9">
        <v>8</v>
      </c>
      <c r="C9">
        <f>Prices!C9-18</f>
        <v>-18</v>
      </c>
      <c r="D9">
        <v>5</v>
      </c>
      <c r="E9" t="s">
        <v>85</v>
      </c>
      <c r="F9">
        <f t="shared" si="0"/>
        <v>-22.5</v>
      </c>
    </row>
    <row r="10" spans="1:6" x14ac:dyDescent="0.25">
      <c r="A10" t="s">
        <v>84</v>
      </c>
      <c r="B10">
        <v>9</v>
      </c>
      <c r="C10">
        <f>Prices!C10-18</f>
        <v>-18</v>
      </c>
      <c r="D10">
        <v>5</v>
      </c>
      <c r="E10" t="s">
        <v>85</v>
      </c>
      <c r="F10">
        <f t="shared" si="0"/>
        <v>-22.5</v>
      </c>
    </row>
    <row r="11" spans="1:6" x14ac:dyDescent="0.25">
      <c r="A11" t="s">
        <v>84</v>
      </c>
      <c r="B11">
        <v>10</v>
      </c>
      <c r="C11">
        <f>Prices!C11-18</f>
        <v>-18</v>
      </c>
      <c r="D11">
        <v>5</v>
      </c>
      <c r="E11" t="s">
        <v>85</v>
      </c>
      <c r="F11">
        <f t="shared" si="0"/>
        <v>-22.5</v>
      </c>
    </row>
    <row r="12" spans="1:6" x14ac:dyDescent="0.25">
      <c r="A12" t="s">
        <v>84</v>
      </c>
      <c r="B12">
        <v>11</v>
      </c>
      <c r="C12">
        <f>Prices!C12-18</f>
        <v>-18</v>
      </c>
      <c r="D12">
        <v>5</v>
      </c>
      <c r="E12" t="s">
        <v>85</v>
      </c>
      <c r="F12">
        <f t="shared" si="0"/>
        <v>-22.5</v>
      </c>
    </row>
    <row r="13" spans="1:6" x14ac:dyDescent="0.25">
      <c r="A13" t="s">
        <v>84</v>
      </c>
      <c r="B13">
        <v>12</v>
      </c>
      <c r="C13">
        <f>Prices!C13-18</f>
        <v>-18</v>
      </c>
      <c r="D13">
        <v>5</v>
      </c>
      <c r="E13" t="s">
        <v>85</v>
      </c>
      <c r="F13">
        <f t="shared" si="0"/>
        <v>-22.5</v>
      </c>
    </row>
    <row r="14" spans="1:6" x14ac:dyDescent="0.25">
      <c r="A14" t="s">
        <v>84</v>
      </c>
      <c r="B14">
        <v>13</v>
      </c>
      <c r="C14">
        <f>Prices!C14-18</f>
        <v>-18</v>
      </c>
      <c r="D14">
        <v>5</v>
      </c>
      <c r="E14" t="s">
        <v>85</v>
      </c>
      <c r="F14">
        <f t="shared" si="0"/>
        <v>-22.5</v>
      </c>
    </row>
    <row r="15" spans="1:6" x14ac:dyDescent="0.25">
      <c r="A15" t="s">
        <v>84</v>
      </c>
      <c r="B15">
        <v>14</v>
      </c>
      <c r="C15">
        <f>Prices!C15-18</f>
        <v>-18</v>
      </c>
      <c r="D15">
        <v>5</v>
      </c>
      <c r="E15" t="s">
        <v>85</v>
      </c>
      <c r="F15">
        <f t="shared" si="0"/>
        <v>-22.5</v>
      </c>
    </row>
    <row r="16" spans="1:6" x14ac:dyDescent="0.25">
      <c r="A16" t="s">
        <v>84</v>
      </c>
      <c r="B16">
        <v>15</v>
      </c>
      <c r="C16">
        <f>Prices!C16-18</f>
        <v>-18</v>
      </c>
      <c r="D16">
        <v>5</v>
      </c>
      <c r="E16" t="s">
        <v>85</v>
      </c>
      <c r="F16">
        <f t="shared" si="0"/>
        <v>-22.5</v>
      </c>
    </row>
    <row r="17" spans="1:6" x14ac:dyDescent="0.25">
      <c r="A17" t="s">
        <v>84</v>
      </c>
      <c r="B17">
        <v>16</v>
      </c>
      <c r="C17">
        <f>Prices!C17-18</f>
        <v>-18</v>
      </c>
      <c r="D17">
        <v>5</v>
      </c>
      <c r="E17" t="s">
        <v>85</v>
      </c>
      <c r="F17">
        <f t="shared" si="0"/>
        <v>-22.5</v>
      </c>
    </row>
    <row r="18" spans="1:6" x14ac:dyDescent="0.25">
      <c r="A18" t="s">
        <v>84</v>
      </c>
      <c r="B18">
        <v>17</v>
      </c>
      <c r="C18">
        <f>Prices!C18-18</f>
        <v>-18</v>
      </c>
      <c r="D18">
        <v>5</v>
      </c>
      <c r="E18" t="s">
        <v>85</v>
      </c>
      <c r="F18">
        <f t="shared" si="0"/>
        <v>-22.5</v>
      </c>
    </row>
    <row r="19" spans="1:6" x14ac:dyDescent="0.25">
      <c r="A19" t="s">
        <v>84</v>
      </c>
      <c r="B19">
        <v>18</v>
      </c>
      <c r="C19">
        <f>Prices!C19-18</f>
        <v>-18</v>
      </c>
      <c r="D19">
        <v>5</v>
      </c>
      <c r="E19" t="s">
        <v>85</v>
      </c>
      <c r="F19">
        <f t="shared" si="0"/>
        <v>-22.5</v>
      </c>
    </row>
    <row r="20" spans="1:6" x14ac:dyDescent="0.25">
      <c r="A20" t="s">
        <v>84</v>
      </c>
      <c r="B20">
        <v>19</v>
      </c>
      <c r="C20">
        <f>Prices!C20-18</f>
        <v>-18</v>
      </c>
      <c r="D20">
        <v>5</v>
      </c>
      <c r="E20" t="s">
        <v>85</v>
      </c>
      <c r="F20">
        <f t="shared" si="0"/>
        <v>-22.5</v>
      </c>
    </row>
    <row r="21" spans="1:6" x14ac:dyDescent="0.25">
      <c r="A21" t="s">
        <v>84</v>
      </c>
      <c r="B21">
        <v>20</v>
      </c>
      <c r="C21">
        <f>Prices!C21-18</f>
        <v>-18</v>
      </c>
      <c r="D21">
        <v>5</v>
      </c>
      <c r="E21" t="s">
        <v>85</v>
      </c>
      <c r="F21">
        <f t="shared" si="0"/>
        <v>-22.5</v>
      </c>
    </row>
    <row r="22" spans="1:6" x14ac:dyDescent="0.25">
      <c r="A22" t="s">
        <v>84</v>
      </c>
      <c r="B22">
        <v>21</v>
      </c>
      <c r="C22">
        <f>Prices!C22-18</f>
        <v>-18</v>
      </c>
      <c r="D22">
        <v>5</v>
      </c>
      <c r="E22" t="s">
        <v>85</v>
      </c>
      <c r="F22">
        <f t="shared" si="0"/>
        <v>-22.5</v>
      </c>
    </row>
    <row r="23" spans="1:6" x14ac:dyDescent="0.25">
      <c r="A23" t="s">
        <v>84</v>
      </c>
      <c r="B23">
        <v>22</v>
      </c>
      <c r="C23">
        <f>Prices!C23-18</f>
        <v>-18</v>
      </c>
      <c r="D23">
        <v>5</v>
      </c>
      <c r="E23" t="s">
        <v>85</v>
      </c>
      <c r="F23">
        <f t="shared" si="0"/>
        <v>-22.5</v>
      </c>
    </row>
    <row r="24" spans="1:6" x14ac:dyDescent="0.25">
      <c r="A24" t="s">
        <v>84</v>
      </c>
      <c r="B24">
        <v>23</v>
      </c>
      <c r="C24">
        <f>Prices!C24-18</f>
        <v>-18</v>
      </c>
      <c r="D24">
        <v>5</v>
      </c>
      <c r="E24" t="s">
        <v>85</v>
      </c>
      <c r="F24">
        <f t="shared" si="0"/>
        <v>-22.5</v>
      </c>
    </row>
    <row r="25" spans="1:6" x14ac:dyDescent="0.25">
      <c r="A25" t="s">
        <v>84</v>
      </c>
      <c r="B25">
        <v>24</v>
      </c>
      <c r="C25">
        <f>Prices!C25-18</f>
        <v>-18</v>
      </c>
      <c r="D25">
        <v>5</v>
      </c>
      <c r="E25" t="s">
        <v>85</v>
      </c>
      <c r="F25">
        <f t="shared" si="0"/>
        <v>-22.5</v>
      </c>
    </row>
    <row r="26" spans="1:6" x14ac:dyDescent="0.25">
      <c r="A26" t="s">
        <v>84</v>
      </c>
      <c r="B26">
        <v>25</v>
      </c>
      <c r="C26">
        <f>Prices!C26-18</f>
        <v>-18</v>
      </c>
      <c r="D26">
        <v>5</v>
      </c>
      <c r="E26" t="s">
        <v>85</v>
      </c>
      <c r="F26">
        <f t="shared" si="0"/>
        <v>-22.5</v>
      </c>
    </row>
    <row r="27" spans="1:6" x14ac:dyDescent="0.25">
      <c r="A27" t="s">
        <v>84</v>
      </c>
      <c r="B27">
        <v>26</v>
      </c>
      <c r="C27">
        <f>Prices!C27-18</f>
        <v>-18</v>
      </c>
      <c r="D27">
        <v>5</v>
      </c>
      <c r="E27" t="s">
        <v>85</v>
      </c>
      <c r="F27">
        <f t="shared" si="0"/>
        <v>-22.5</v>
      </c>
    </row>
    <row r="28" spans="1:6" x14ac:dyDescent="0.25">
      <c r="A28" t="s">
        <v>84</v>
      </c>
      <c r="B28">
        <v>27</v>
      </c>
      <c r="C28">
        <f>Prices!C28-18</f>
        <v>-18</v>
      </c>
      <c r="D28">
        <v>5</v>
      </c>
      <c r="E28" t="s">
        <v>85</v>
      </c>
      <c r="F28">
        <f t="shared" si="0"/>
        <v>-22.5</v>
      </c>
    </row>
    <row r="29" spans="1:6" x14ac:dyDescent="0.25">
      <c r="A29" t="s">
        <v>84</v>
      </c>
      <c r="B29">
        <v>28</v>
      </c>
      <c r="C29">
        <f>Prices!C29-18</f>
        <v>-18</v>
      </c>
      <c r="D29">
        <v>5</v>
      </c>
      <c r="E29" t="s">
        <v>85</v>
      </c>
      <c r="F29">
        <f t="shared" si="0"/>
        <v>-22.5</v>
      </c>
    </row>
    <row r="30" spans="1:6" x14ac:dyDescent="0.25">
      <c r="A30" t="s">
        <v>84</v>
      </c>
      <c r="B30">
        <v>29</v>
      </c>
      <c r="C30">
        <f>Prices!C30-18</f>
        <v>-18</v>
      </c>
      <c r="D30">
        <v>5</v>
      </c>
      <c r="E30" t="s">
        <v>85</v>
      </c>
      <c r="F30">
        <f t="shared" si="0"/>
        <v>-22.5</v>
      </c>
    </row>
    <row r="31" spans="1:6" x14ac:dyDescent="0.25">
      <c r="A31" t="s">
        <v>84</v>
      </c>
      <c r="B31">
        <v>30</v>
      </c>
      <c r="C31">
        <f>Prices!C31-18</f>
        <v>-18</v>
      </c>
      <c r="D31">
        <v>5</v>
      </c>
      <c r="E31" t="s">
        <v>85</v>
      </c>
      <c r="F31">
        <f t="shared" si="0"/>
        <v>-22.5</v>
      </c>
    </row>
    <row r="32" spans="1:6" x14ac:dyDescent="0.25">
      <c r="A32" t="s">
        <v>84</v>
      </c>
      <c r="B32">
        <v>31</v>
      </c>
      <c r="C32">
        <f>Prices!C32-18</f>
        <v>-18</v>
      </c>
      <c r="D32">
        <v>5</v>
      </c>
      <c r="E32" t="s">
        <v>85</v>
      </c>
      <c r="F32">
        <f t="shared" si="0"/>
        <v>-22.5</v>
      </c>
    </row>
    <row r="33" spans="1:6" x14ac:dyDescent="0.25">
      <c r="A33" t="s">
        <v>84</v>
      </c>
      <c r="B33">
        <v>32</v>
      </c>
      <c r="C33">
        <f>Prices!C33-18</f>
        <v>-18</v>
      </c>
      <c r="D33">
        <v>5</v>
      </c>
      <c r="E33" t="s">
        <v>85</v>
      </c>
      <c r="F33">
        <f t="shared" si="0"/>
        <v>-22.5</v>
      </c>
    </row>
    <row r="34" spans="1:6" x14ac:dyDescent="0.25">
      <c r="A34" t="s">
        <v>84</v>
      </c>
      <c r="B34">
        <v>33</v>
      </c>
      <c r="C34">
        <f>Prices!C34-18</f>
        <v>-18</v>
      </c>
      <c r="D34">
        <v>5</v>
      </c>
      <c r="E34" t="s">
        <v>85</v>
      </c>
      <c r="F34">
        <f t="shared" ref="F34:F65" si="1">C34*D34/4</f>
        <v>-22.5</v>
      </c>
    </row>
    <row r="35" spans="1:6" x14ac:dyDescent="0.25">
      <c r="A35" t="s">
        <v>84</v>
      </c>
      <c r="B35">
        <v>34</v>
      </c>
      <c r="C35">
        <f>Prices!C35-18</f>
        <v>-18</v>
      </c>
      <c r="D35">
        <v>5</v>
      </c>
      <c r="E35" t="s">
        <v>85</v>
      </c>
      <c r="F35">
        <f t="shared" si="1"/>
        <v>-22.5</v>
      </c>
    </row>
    <row r="36" spans="1:6" x14ac:dyDescent="0.25">
      <c r="A36" t="s">
        <v>84</v>
      </c>
      <c r="B36">
        <v>35</v>
      </c>
      <c r="C36">
        <f>Prices!C36-18</f>
        <v>-18</v>
      </c>
      <c r="D36">
        <v>5</v>
      </c>
      <c r="E36" t="s">
        <v>85</v>
      </c>
      <c r="F36">
        <f t="shared" si="1"/>
        <v>-22.5</v>
      </c>
    </row>
    <row r="37" spans="1:6" x14ac:dyDescent="0.25">
      <c r="A37" t="s">
        <v>84</v>
      </c>
      <c r="B37">
        <v>36</v>
      </c>
      <c r="C37">
        <f>Prices!C37-18</f>
        <v>-18</v>
      </c>
      <c r="D37">
        <v>5</v>
      </c>
      <c r="E37" t="s">
        <v>85</v>
      </c>
      <c r="F37">
        <f t="shared" si="1"/>
        <v>-22.5</v>
      </c>
    </row>
    <row r="38" spans="1:6" x14ac:dyDescent="0.25">
      <c r="A38" t="s">
        <v>84</v>
      </c>
      <c r="B38">
        <v>37</v>
      </c>
      <c r="C38">
        <f>Prices!C38-18</f>
        <v>-18</v>
      </c>
      <c r="D38">
        <v>5</v>
      </c>
      <c r="E38" t="s">
        <v>85</v>
      </c>
      <c r="F38">
        <f t="shared" si="1"/>
        <v>-22.5</v>
      </c>
    </row>
    <row r="39" spans="1:6" x14ac:dyDescent="0.25">
      <c r="A39" t="s">
        <v>84</v>
      </c>
      <c r="B39">
        <v>38</v>
      </c>
      <c r="C39">
        <f>Prices!C39-18</f>
        <v>-18</v>
      </c>
      <c r="D39">
        <v>5</v>
      </c>
      <c r="E39" t="s">
        <v>85</v>
      </c>
      <c r="F39">
        <f t="shared" si="1"/>
        <v>-22.5</v>
      </c>
    </row>
    <row r="40" spans="1:6" x14ac:dyDescent="0.25">
      <c r="A40" t="s">
        <v>84</v>
      </c>
      <c r="B40">
        <v>39</v>
      </c>
      <c r="C40">
        <f>Prices!C40-18</f>
        <v>-18</v>
      </c>
      <c r="D40">
        <v>5</v>
      </c>
      <c r="E40" t="s">
        <v>85</v>
      </c>
      <c r="F40">
        <f t="shared" si="1"/>
        <v>-22.5</v>
      </c>
    </row>
    <row r="41" spans="1:6" x14ac:dyDescent="0.25">
      <c r="A41" t="s">
        <v>84</v>
      </c>
      <c r="B41">
        <v>40</v>
      </c>
      <c r="C41">
        <f>Prices!C41-18</f>
        <v>-18</v>
      </c>
      <c r="D41">
        <v>5</v>
      </c>
      <c r="E41" t="s">
        <v>85</v>
      </c>
      <c r="F41">
        <f t="shared" si="1"/>
        <v>-22.5</v>
      </c>
    </row>
    <row r="42" spans="1:6" x14ac:dyDescent="0.25">
      <c r="A42" t="s">
        <v>84</v>
      </c>
      <c r="B42">
        <v>41</v>
      </c>
      <c r="C42">
        <f>Prices!C42-18</f>
        <v>-18</v>
      </c>
      <c r="D42">
        <v>5</v>
      </c>
      <c r="E42" t="s">
        <v>85</v>
      </c>
      <c r="F42">
        <f t="shared" si="1"/>
        <v>-22.5</v>
      </c>
    </row>
    <row r="43" spans="1:6" x14ac:dyDescent="0.25">
      <c r="A43" t="s">
        <v>84</v>
      </c>
      <c r="B43">
        <v>42</v>
      </c>
      <c r="C43">
        <f>Prices!C43-18</f>
        <v>-18</v>
      </c>
      <c r="D43">
        <v>5</v>
      </c>
      <c r="E43" t="s">
        <v>85</v>
      </c>
      <c r="F43">
        <f t="shared" si="1"/>
        <v>-22.5</v>
      </c>
    </row>
    <row r="44" spans="1:6" x14ac:dyDescent="0.25">
      <c r="A44" t="s">
        <v>84</v>
      </c>
      <c r="B44">
        <v>43</v>
      </c>
      <c r="C44">
        <f>Prices!C44-18</f>
        <v>-18</v>
      </c>
      <c r="D44">
        <v>5</v>
      </c>
      <c r="E44" t="s">
        <v>85</v>
      </c>
      <c r="F44">
        <f t="shared" si="1"/>
        <v>-22.5</v>
      </c>
    </row>
    <row r="45" spans="1:6" x14ac:dyDescent="0.25">
      <c r="A45" t="s">
        <v>84</v>
      </c>
      <c r="B45">
        <v>44</v>
      </c>
      <c r="C45">
        <f>Prices!C45-18</f>
        <v>-18</v>
      </c>
      <c r="D45">
        <v>5</v>
      </c>
      <c r="E45" t="s">
        <v>85</v>
      </c>
      <c r="F45">
        <f t="shared" si="1"/>
        <v>-22.5</v>
      </c>
    </row>
    <row r="46" spans="1:6" x14ac:dyDescent="0.25">
      <c r="A46" t="s">
        <v>84</v>
      </c>
      <c r="B46">
        <v>45</v>
      </c>
      <c r="C46">
        <f>Prices!C46-18</f>
        <v>-18</v>
      </c>
      <c r="D46">
        <v>5</v>
      </c>
      <c r="E46" t="s">
        <v>85</v>
      </c>
      <c r="F46">
        <f t="shared" si="1"/>
        <v>-22.5</v>
      </c>
    </row>
    <row r="47" spans="1:6" x14ac:dyDescent="0.25">
      <c r="A47" t="s">
        <v>84</v>
      </c>
      <c r="B47">
        <v>46</v>
      </c>
      <c r="C47">
        <f>Prices!C47-18</f>
        <v>-18</v>
      </c>
      <c r="D47">
        <v>5</v>
      </c>
      <c r="E47" t="s">
        <v>85</v>
      </c>
      <c r="F47">
        <f t="shared" si="1"/>
        <v>-22.5</v>
      </c>
    </row>
    <row r="48" spans="1:6" x14ac:dyDescent="0.25">
      <c r="A48" t="s">
        <v>84</v>
      </c>
      <c r="B48">
        <v>47</v>
      </c>
      <c r="C48">
        <f>Prices!C48-18</f>
        <v>-18</v>
      </c>
      <c r="D48">
        <v>5</v>
      </c>
      <c r="E48" t="s">
        <v>85</v>
      </c>
      <c r="F48">
        <f t="shared" si="1"/>
        <v>-22.5</v>
      </c>
    </row>
    <row r="49" spans="1:6" x14ac:dyDescent="0.25">
      <c r="A49" t="s">
        <v>84</v>
      </c>
      <c r="B49">
        <v>48</v>
      </c>
      <c r="C49">
        <f>Prices!C49-18</f>
        <v>-18</v>
      </c>
      <c r="D49">
        <v>5</v>
      </c>
      <c r="E49" t="s">
        <v>85</v>
      </c>
      <c r="F49">
        <f t="shared" si="1"/>
        <v>-22.5</v>
      </c>
    </row>
    <row r="50" spans="1:6" x14ac:dyDescent="0.25">
      <c r="A50" t="s">
        <v>84</v>
      </c>
      <c r="B50">
        <v>49</v>
      </c>
      <c r="C50">
        <f>Prices!C50-18</f>
        <v>-18</v>
      </c>
      <c r="D50">
        <v>5</v>
      </c>
      <c r="E50" t="s">
        <v>85</v>
      </c>
      <c r="F50">
        <f t="shared" si="1"/>
        <v>-22.5</v>
      </c>
    </row>
    <row r="51" spans="1:6" x14ac:dyDescent="0.25">
      <c r="A51" t="s">
        <v>84</v>
      </c>
      <c r="B51">
        <v>50</v>
      </c>
      <c r="C51">
        <f>Prices!C51-18</f>
        <v>-18</v>
      </c>
      <c r="D51">
        <v>5</v>
      </c>
      <c r="E51" t="s">
        <v>85</v>
      </c>
      <c r="F51">
        <f t="shared" si="1"/>
        <v>-22.5</v>
      </c>
    </row>
    <row r="52" spans="1:6" x14ac:dyDescent="0.25">
      <c r="A52" t="s">
        <v>84</v>
      </c>
      <c r="B52">
        <v>51</v>
      </c>
      <c r="C52">
        <f>Prices!C52-18</f>
        <v>-18</v>
      </c>
      <c r="D52">
        <v>5</v>
      </c>
      <c r="E52" t="s">
        <v>85</v>
      </c>
      <c r="F52">
        <f t="shared" si="1"/>
        <v>-22.5</v>
      </c>
    </row>
    <row r="53" spans="1:6" x14ac:dyDescent="0.25">
      <c r="A53" t="s">
        <v>84</v>
      </c>
      <c r="B53">
        <v>52</v>
      </c>
      <c r="C53">
        <f>Prices!C53-18</f>
        <v>-18</v>
      </c>
      <c r="D53">
        <v>5</v>
      </c>
      <c r="E53" t="s">
        <v>85</v>
      </c>
      <c r="F53">
        <f t="shared" si="1"/>
        <v>-22.5</v>
      </c>
    </row>
    <row r="54" spans="1:6" x14ac:dyDescent="0.25">
      <c r="A54" t="s">
        <v>84</v>
      </c>
      <c r="B54">
        <v>53</v>
      </c>
      <c r="C54">
        <f>Prices!C54-18</f>
        <v>-18</v>
      </c>
      <c r="D54">
        <v>5</v>
      </c>
      <c r="E54" t="s">
        <v>85</v>
      </c>
      <c r="F54">
        <f t="shared" si="1"/>
        <v>-22.5</v>
      </c>
    </row>
    <row r="55" spans="1:6" x14ac:dyDescent="0.25">
      <c r="A55" t="s">
        <v>84</v>
      </c>
      <c r="B55">
        <v>54</v>
      </c>
      <c r="C55">
        <f>Prices!C55-18</f>
        <v>-18</v>
      </c>
      <c r="D55">
        <v>5</v>
      </c>
      <c r="E55" t="s">
        <v>85</v>
      </c>
      <c r="F55">
        <f t="shared" si="1"/>
        <v>-22.5</v>
      </c>
    </row>
    <row r="56" spans="1:6" x14ac:dyDescent="0.25">
      <c r="A56" t="s">
        <v>84</v>
      </c>
      <c r="B56">
        <v>55</v>
      </c>
      <c r="C56">
        <f>Prices!C56-18</f>
        <v>-18</v>
      </c>
      <c r="D56">
        <v>5</v>
      </c>
      <c r="E56" t="s">
        <v>85</v>
      </c>
      <c r="F56">
        <f t="shared" si="1"/>
        <v>-22.5</v>
      </c>
    </row>
    <row r="57" spans="1:6" x14ac:dyDescent="0.25">
      <c r="A57" t="s">
        <v>84</v>
      </c>
      <c r="B57">
        <v>56</v>
      </c>
      <c r="C57">
        <f>Prices!C57-18</f>
        <v>-18</v>
      </c>
      <c r="D57">
        <v>5</v>
      </c>
      <c r="E57" t="s">
        <v>85</v>
      </c>
      <c r="F57">
        <f t="shared" si="1"/>
        <v>-22.5</v>
      </c>
    </row>
    <row r="58" spans="1:6" x14ac:dyDescent="0.25">
      <c r="A58" t="s">
        <v>84</v>
      </c>
      <c r="B58">
        <v>57</v>
      </c>
      <c r="C58">
        <f>Prices!C58-18</f>
        <v>-18</v>
      </c>
      <c r="D58">
        <v>5</v>
      </c>
      <c r="E58" t="s">
        <v>85</v>
      </c>
      <c r="F58">
        <f t="shared" si="1"/>
        <v>-22.5</v>
      </c>
    </row>
    <row r="59" spans="1:6" x14ac:dyDescent="0.25">
      <c r="A59" t="s">
        <v>84</v>
      </c>
      <c r="B59">
        <v>58</v>
      </c>
      <c r="C59">
        <f>Prices!C59-18</f>
        <v>-18</v>
      </c>
      <c r="D59">
        <v>5</v>
      </c>
      <c r="E59" t="s">
        <v>85</v>
      </c>
      <c r="F59">
        <f t="shared" si="1"/>
        <v>-22.5</v>
      </c>
    </row>
    <row r="60" spans="1:6" x14ac:dyDescent="0.25">
      <c r="A60" t="s">
        <v>84</v>
      </c>
      <c r="B60">
        <v>59</v>
      </c>
      <c r="C60">
        <f>Prices!C60-18</f>
        <v>-18</v>
      </c>
      <c r="D60">
        <v>5</v>
      </c>
      <c r="E60" t="s">
        <v>85</v>
      </c>
      <c r="F60">
        <f t="shared" si="1"/>
        <v>-22.5</v>
      </c>
    </row>
    <row r="61" spans="1:6" x14ac:dyDescent="0.25">
      <c r="A61" t="s">
        <v>84</v>
      </c>
      <c r="B61">
        <v>60</v>
      </c>
      <c r="C61">
        <f>Prices!C61-18</f>
        <v>-18</v>
      </c>
      <c r="D61">
        <v>5</v>
      </c>
      <c r="E61" t="s">
        <v>85</v>
      </c>
      <c r="F61">
        <f t="shared" si="1"/>
        <v>-22.5</v>
      </c>
    </row>
    <row r="62" spans="1:6" x14ac:dyDescent="0.25">
      <c r="A62" t="s">
        <v>84</v>
      </c>
      <c r="B62">
        <v>61</v>
      </c>
      <c r="C62">
        <f>Prices!C62-18</f>
        <v>-18</v>
      </c>
      <c r="D62">
        <v>5</v>
      </c>
      <c r="E62" t="s">
        <v>85</v>
      </c>
      <c r="F62">
        <f t="shared" si="1"/>
        <v>-22.5</v>
      </c>
    </row>
    <row r="63" spans="1:6" x14ac:dyDescent="0.25">
      <c r="A63" t="s">
        <v>84</v>
      </c>
      <c r="B63">
        <v>62</v>
      </c>
      <c r="C63">
        <f>Prices!C63-18</f>
        <v>-18</v>
      </c>
      <c r="D63">
        <v>5</v>
      </c>
      <c r="E63" t="s">
        <v>85</v>
      </c>
      <c r="F63">
        <f t="shared" si="1"/>
        <v>-22.5</v>
      </c>
    </row>
    <row r="64" spans="1:6" x14ac:dyDescent="0.25">
      <c r="A64" t="s">
        <v>84</v>
      </c>
      <c r="B64">
        <v>63</v>
      </c>
      <c r="C64">
        <f>Prices!C64-18</f>
        <v>-18</v>
      </c>
      <c r="D64">
        <v>5</v>
      </c>
      <c r="E64" t="s">
        <v>85</v>
      </c>
      <c r="F64">
        <f t="shared" si="1"/>
        <v>-22.5</v>
      </c>
    </row>
    <row r="65" spans="1:6" x14ac:dyDescent="0.25">
      <c r="A65" t="s">
        <v>84</v>
      </c>
      <c r="B65">
        <v>64</v>
      </c>
      <c r="C65">
        <f>Prices!C65-18</f>
        <v>-18</v>
      </c>
      <c r="D65">
        <v>5</v>
      </c>
      <c r="E65" t="s">
        <v>85</v>
      </c>
      <c r="F65">
        <f t="shared" si="1"/>
        <v>-22.5</v>
      </c>
    </row>
    <row r="66" spans="1:6" x14ac:dyDescent="0.25">
      <c r="A66" t="s">
        <v>84</v>
      </c>
      <c r="B66">
        <v>65</v>
      </c>
      <c r="C66">
        <f>Prices!C66-18</f>
        <v>-18</v>
      </c>
      <c r="D66">
        <v>5</v>
      </c>
      <c r="E66" t="s">
        <v>85</v>
      </c>
      <c r="F66">
        <f t="shared" ref="F66:F97" si="2">C66*D66/4</f>
        <v>-22.5</v>
      </c>
    </row>
    <row r="67" spans="1:6" x14ac:dyDescent="0.25">
      <c r="A67" t="s">
        <v>84</v>
      </c>
      <c r="B67">
        <v>66</v>
      </c>
      <c r="C67">
        <f>Prices!C67-18</f>
        <v>-18</v>
      </c>
      <c r="D67">
        <v>5</v>
      </c>
      <c r="E67" t="s">
        <v>85</v>
      </c>
      <c r="F67">
        <f t="shared" si="2"/>
        <v>-22.5</v>
      </c>
    </row>
    <row r="68" spans="1:6" x14ac:dyDescent="0.25">
      <c r="A68" t="s">
        <v>84</v>
      </c>
      <c r="B68">
        <v>67</v>
      </c>
      <c r="C68">
        <f>Prices!C68-18</f>
        <v>-18</v>
      </c>
      <c r="D68">
        <v>5</v>
      </c>
      <c r="E68" t="s">
        <v>85</v>
      </c>
      <c r="F68">
        <f t="shared" si="2"/>
        <v>-22.5</v>
      </c>
    </row>
    <row r="69" spans="1:6" x14ac:dyDescent="0.25">
      <c r="A69" t="s">
        <v>84</v>
      </c>
      <c r="B69">
        <v>68</v>
      </c>
      <c r="C69">
        <f>Prices!C69-18</f>
        <v>-18</v>
      </c>
      <c r="D69">
        <v>5</v>
      </c>
      <c r="E69" t="s">
        <v>85</v>
      </c>
      <c r="F69">
        <f t="shared" si="2"/>
        <v>-22.5</v>
      </c>
    </row>
    <row r="70" spans="1:6" x14ac:dyDescent="0.25">
      <c r="A70" t="s">
        <v>84</v>
      </c>
      <c r="B70">
        <v>69</v>
      </c>
      <c r="C70">
        <f>Prices!C70-18</f>
        <v>-18</v>
      </c>
      <c r="D70">
        <v>5</v>
      </c>
      <c r="E70" t="s">
        <v>85</v>
      </c>
      <c r="F70">
        <f t="shared" si="2"/>
        <v>-22.5</v>
      </c>
    </row>
    <row r="71" spans="1:6" x14ac:dyDescent="0.25">
      <c r="A71" t="s">
        <v>84</v>
      </c>
      <c r="B71">
        <v>70</v>
      </c>
      <c r="C71">
        <f>Prices!C71-18</f>
        <v>-18</v>
      </c>
      <c r="D71">
        <v>5</v>
      </c>
      <c r="E71" t="s">
        <v>85</v>
      </c>
      <c r="F71">
        <f t="shared" si="2"/>
        <v>-22.5</v>
      </c>
    </row>
    <row r="72" spans="1:6" x14ac:dyDescent="0.25">
      <c r="A72" t="s">
        <v>84</v>
      </c>
      <c r="B72">
        <v>71</v>
      </c>
      <c r="C72">
        <f>Prices!C72-18</f>
        <v>-18</v>
      </c>
      <c r="D72">
        <v>5</v>
      </c>
      <c r="E72" t="s">
        <v>85</v>
      </c>
      <c r="F72">
        <f t="shared" si="2"/>
        <v>-22.5</v>
      </c>
    </row>
    <row r="73" spans="1:6" x14ac:dyDescent="0.25">
      <c r="A73" t="s">
        <v>84</v>
      </c>
      <c r="B73">
        <v>72</v>
      </c>
      <c r="C73">
        <f>Prices!C73-18</f>
        <v>-18</v>
      </c>
      <c r="D73">
        <v>5</v>
      </c>
      <c r="E73" t="s">
        <v>85</v>
      </c>
      <c r="F73">
        <f t="shared" si="2"/>
        <v>-22.5</v>
      </c>
    </row>
    <row r="74" spans="1:6" x14ac:dyDescent="0.25">
      <c r="A74" t="s">
        <v>84</v>
      </c>
      <c r="B74">
        <v>73</v>
      </c>
      <c r="C74">
        <f>Prices!C74-18</f>
        <v>-18</v>
      </c>
      <c r="D74">
        <v>5</v>
      </c>
      <c r="E74" t="s">
        <v>85</v>
      </c>
      <c r="F74">
        <f t="shared" si="2"/>
        <v>-22.5</v>
      </c>
    </row>
    <row r="75" spans="1:6" x14ac:dyDescent="0.25">
      <c r="A75" t="s">
        <v>84</v>
      </c>
      <c r="B75">
        <v>74</v>
      </c>
      <c r="C75">
        <f>Prices!C75-18</f>
        <v>-18</v>
      </c>
      <c r="D75">
        <v>5</v>
      </c>
      <c r="E75" t="s">
        <v>85</v>
      </c>
      <c r="F75">
        <f t="shared" si="2"/>
        <v>-22.5</v>
      </c>
    </row>
    <row r="76" spans="1:6" x14ac:dyDescent="0.25">
      <c r="A76" t="s">
        <v>84</v>
      </c>
      <c r="B76">
        <v>75</v>
      </c>
      <c r="C76">
        <f>Prices!C76-18</f>
        <v>-18</v>
      </c>
      <c r="D76">
        <v>5</v>
      </c>
      <c r="E76" t="s">
        <v>85</v>
      </c>
      <c r="F76">
        <f t="shared" si="2"/>
        <v>-22.5</v>
      </c>
    </row>
    <row r="77" spans="1:6" x14ac:dyDescent="0.25">
      <c r="A77" t="s">
        <v>84</v>
      </c>
      <c r="B77">
        <v>76</v>
      </c>
      <c r="C77">
        <f>Prices!C77-18</f>
        <v>-18</v>
      </c>
      <c r="D77">
        <v>5</v>
      </c>
      <c r="E77" t="s">
        <v>85</v>
      </c>
      <c r="F77">
        <f t="shared" si="2"/>
        <v>-22.5</v>
      </c>
    </row>
    <row r="78" spans="1:6" x14ac:dyDescent="0.25">
      <c r="A78" t="s">
        <v>84</v>
      </c>
      <c r="B78">
        <v>77</v>
      </c>
      <c r="C78">
        <f>Prices!C78-18</f>
        <v>-18</v>
      </c>
      <c r="D78">
        <v>5</v>
      </c>
      <c r="E78" t="s">
        <v>85</v>
      </c>
      <c r="F78">
        <f t="shared" si="2"/>
        <v>-22.5</v>
      </c>
    </row>
    <row r="79" spans="1:6" x14ac:dyDescent="0.25">
      <c r="A79" t="s">
        <v>84</v>
      </c>
      <c r="B79">
        <v>78</v>
      </c>
      <c r="C79">
        <f>Prices!C79-18</f>
        <v>-18</v>
      </c>
      <c r="D79">
        <v>5</v>
      </c>
      <c r="E79" t="s">
        <v>85</v>
      </c>
      <c r="F79">
        <f t="shared" si="2"/>
        <v>-22.5</v>
      </c>
    </row>
    <row r="80" spans="1:6" x14ac:dyDescent="0.25">
      <c r="A80" t="s">
        <v>84</v>
      </c>
      <c r="B80">
        <v>79</v>
      </c>
      <c r="C80">
        <f>Prices!C80-18</f>
        <v>-18</v>
      </c>
      <c r="D80">
        <v>5</v>
      </c>
      <c r="E80" t="s">
        <v>85</v>
      </c>
      <c r="F80">
        <f t="shared" si="2"/>
        <v>-22.5</v>
      </c>
    </row>
    <row r="81" spans="1:6" x14ac:dyDescent="0.25">
      <c r="A81" t="s">
        <v>84</v>
      </c>
      <c r="B81">
        <v>80</v>
      </c>
      <c r="C81">
        <f>Prices!C81-18</f>
        <v>-18</v>
      </c>
      <c r="D81">
        <v>5</v>
      </c>
      <c r="E81" t="s">
        <v>85</v>
      </c>
      <c r="F81">
        <f t="shared" si="2"/>
        <v>-22.5</v>
      </c>
    </row>
    <row r="82" spans="1:6" x14ac:dyDescent="0.25">
      <c r="A82" t="s">
        <v>84</v>
      </c>
      <c r="B82">
        <v>81</v>
      </c>
      <c r="C82">
        <f>Prices!C82-18</f>
        <v>-18</v>
      </c>
      <c r="D82">
        <v>5</v>
      </c>
      <c r="E82" t="s">
        <v>85</v>
      </c>
      <c r="F82">
        <f t="shared" si="2"/>
        <v>-22.5</v>
      </c>
    </row>
    <row r="83" spans="1:6" x14ac:dyDescent="0.25">
      <c r="A83" t="s">
        <v>84</v>
      </c>
      <c r="B83">
        <v>82</v>
      </c>
      <c r="C83">
        <f>Prices!C83-18</f>
        <v>-18</v>
      </c>
      <c r="D83">
        <v>5</v>
      </c>
      <c r="E83" t="s">
        <v>85</v>
      </c>
      <c r="F83">
        <f t="shared" si="2"/>
        <v>-22.5</v>
      </c>
    </row>
    <row r="84" spans="1:6" x14ac:dyDescent="0.25">
      <c r="A84" t="s">
        <v>84</v>
      </c>
      <c r="B84">
        <v>83</v>
      </c>
      <c r="C84">
        <f>Prices!C84-18</f>
        <v>-18</v>
      </c>
      <c r="D84">
        <v>5</v>
      </c>
      <c r="E84" t="s">
        <v>85</v>
      </c>
      <c r="F84">
        <f t="shared" si="2"/>
        <v>-22.5</v>
      </c>
    </row>
    <row r="85" spans="1:6" x14ac:dyDescent="0.25">
      <c r="A85" t="s">
        <v>84</v>
      </c>
      <c r="B85">
        <v>84</v>
      </c>
      <c r="C85">
        <f>Prices!C85-18</f>
        <v>-18</v>
      </c>
      <c r="D85">
        <v>5</v>
      </c>
      <c r="E85" t="s">
        <v>85</v>
      </c>
      <c r="F85">
        <f t="shared" si="2"/>
        <v>-22.5</v>
      </c>
    </row>
    <row r="86" spans="1:6" x14ac:dyDescent="0.25">
      <c r="A86" t="s">
        <v>84</v>
      </c>
      <c r="B86">
        <v>85</v>
      </c>
      <c r="C86">
        <f>Prices!C86-18</f>
        <v>-18</v>
      </c>
      <c r="D86">
        <v>5</v>
      </c>
      <c r="E86" t="s">
        <v>85</v>
      </c>
      <c r="F86">
        <f t="shared" si="2"/>
        <v>-22.5</v>
      </c>
    </row>
    <row r="87" spans="1:6" x14ac:dyDescent="0.25">
      <c r="A87" t="s">
        <v>84</v>
      </c>
      <c r="B87">
        <v>86</v>
      </c>
      <c r="C87">
        <f>Prices!C87-18</f>
        <v>-18</v>
      </c>
      <c r="D87">
        <v>5</v>
      </c>
      <c r="E87" t="s">
        <v>85</v>
      </c>
      <c r="F87">
        <f t="shared" si="2"/>
        <v>-22.5</v>
      </c>
    </row>
    <row r="88" spans="1:6" x14ac:dyDescent="0.25">
      <c r="A88" t="s">
        <v>84</v>
      </c>
      <c r="B88">
        <v>87</v>
      </c>
      <c r="C88">
        <f>Prices!C88-18</f>
        <v>-18</v>
      </c>
      <c r="D88">
        <v>5</v>
      </c>
      <c r="E88" t="s">
        <v>85</v>
      </c>
      <c r="F88">
        <f t="shared" si="2"/>
        <v>-22.5</v>
      </c>
    </row>
    <row r="89" spans="1:6" x14ac:dyDescent="0.25">
      <c r="A89" t="s">
        <v>84</v>
      </c>
      <c r="B89">
        <v>88</v>
      </c>
      <c r="C89">
        <f>Prices!C89-18</f>
        <v>-18</v>
      </c>
      <c r="D89">
        <v>5</v>
      </c>
      <c r="E89" t="s">
        <v>85</v>
      </c>
      <c r="F89">
        <f t="shared" si="2"/>
        <v>-22.5</v>
      </c>
    </row>
    <row r="90" spans="1:6" x14ac:dyDescent="0.25">
      <c r="A90" t="s">
        <v>84</v>
      </c>
      <c r="B90">
        <v>89</v>
      </c>
      <c r="C90">
        <f>Prices!C90-18</f>
        <v>-18</v>
      </c>
      <c r="D90">
        <v>5</v>
      </c>
      <c r="E90" t="s">
        <v>85</v>
      </c>
      <c r="F90">
        <f t="shared" si="2"/>
        <v>-22.5</v>
      </c>
    </row>
    <row r="91" spans="1:6" x14ac:dyDescent="0.25">
      <c r="A91" t="s">
        <v>84</v>
      </c>
      <c r="B91">
        <v>90</v>
      </c>
      <c r="C91">
        <f>Prices!C91-18</f>
        <v>-18</v>
      </c>
      <c r="D91">
        <v>5</v>
      </c>
      <c r="E91" t="s">
        <v>85</v>
      </c>
      <c r="F91">
        <f t="shared" si="2"/>
        <v>-22.5</v>
      </c>
    </row>
    <row r="92" spans="1:6" x14ac:dyDescent="0.25">
      <c r="A92" t="s">
        <v>84</v>
      </c>
      <c r="B92">
        <v>91</v>
      </c>
      <c r="C92">
        <f>Prices!C92-18</f>
        <v>-18</v>
      </c>
      <c r="D92">
        <v>5</v>
      </c>
      <c r="E92" t="s">
        <v>85</v>
      </c>
      <c r="F92">
        <f t="shared" si="2"/>
        <v>-22.5</v>
      </c>
    </row>
    <row r="93" spans="1:6" x14ac:dyDescent="0.25">
      <c r="A93" t="s">
        <v>84</v>
      </c>
      <c r="B93">
        <v>92</v>
      </c>
      <c r="C93">
        <f>Prices!C93-18</f>
        <v>-18</v>
      </c>
      <c r="D93">
        <v>5</v>
      </c>
      <c r="E93" t="s">
        <v>85</v>
      </c>
      <c r="F93">
        <f t="shared" si="2"/>
        <v>-22.5</v>
      </c>
    </row>
    <row r="94" spans="1:6" x14ac:dyDescent="0.25">
      <c r="A94" t="s">
        <v>84</v>
      </c>
      <c r="B94">
        <v>93</v>
      </c>
      <c r="C94">
        <f>Prices!C94-18</f>
        <v>-18</v>
      </c>
      <c r="D94">
        <v>5</v>
      </c>
      <c r="E94" t="s">
        <v>85</v>
      </c>
      <c r="F94">
        <f t="shared" si="2"/>
        <v>-22.5</v>
      </c>
    </row>
    <row r="95" spans="1:6" x14ac:dyDescent="0.25">
      <c r="A95" t="s">
        <v>84</v>
      </c>
      <c r="B95">
        <v>94</v>
      </c>
      <c r="C95">
        <f>Prices!C95-18</f>
        <v>-18</v>
      </c>
      <c r="D95">
        <v>5</v>
      </c>
      <c r="E95" t="s">
        <v>85</v>
      </c>
      <c r="F95">
        <f t="shared" si="2"/>
        <v>-22.5</v>
      </c>
    </row>
    <row r="96" spans="1:6" x14ac:dyDescent="0.25">
      <c r="A96" t="s">
        <v>84</v>
      </c>
      <c r="B96">
        <v>95</v>
      </c>
      <c r="C96">
        <f>Prices!C96-18</f>
        <v>-18</v>
      </c>
      <c r="D96">
        <v>5</v>
      </c>
      <c r="E96" t="s">
        <v>85</v>
      </c>
      <c r="F96">
        <f t="shared" si="2"/>
        <v>-22.5</v>
      </c>
    </row>
    <row r="97" spans="1:6" x14ac:dyDescent="0.25">
      <c r="A97" t="s">
        <v>84</v>
      </c>
      <c r="B97">
        <v>96</v>
      </c>
      <c r="C97">
        <f>Prices!C97-18</f>
        <v>-18</v>
      </c>
      <c r="D97">
        <v>5</v>
      </c>
      <c r="E97" t="s">
        <v>85</v>
      </c>
      <c r="F97">
        <f t="shared" si="2"/>
        <v>-22.5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7"/>
  <dimension ref="A1:F97"/>
  <sheetViews>
    <sheetView topLeftCell="A52" workbookViewId="0">
      <selection activeCell="I71" sqref="I71"/>
    </sheetView>
  </sheetViews>
  <sheetFormatPr defaultRowHeight="15" x14ac:dyDescent="0.25"/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Prices!C2-25</f>
        <v>-25</v>
      </c>
      <c r="D2">
        <v>5</v>
      </c>
      <c r="E2" t="s">
        <v>85</v>
      </c>
      <c r="F2">
        <f t="shared" ref="F2:F33" si="0">C2*D2/4</f>
        <v>-31.25</v>
      </c>
    </row>
    <row r="3" spans="1:6" x14ac:dyDescent="0.25">
      <c r="A3" t="s">
        <v>84</v>
      </c>
      <c r="B3">
        <v>2</v>
      </c>
      <c r="C3">
        <f>Prices!C3-25</f>
        <v>-25</v>
      </c>
      <c r="D3">
        <v>5</v>
      </c>
      <c r="E3" t="s">
        <v>85</v>
      </c>
      <c r="F3">
        <f t="shared" si="0"/>
        <v>-31.25</v>
      </c>
    </row>
    <row r="4" spans="1:6" x14ac:dyDescent="0.25">
      <c r="A4" t="s">
        <v>84</v>
      </c>
      <c r="B4">
        <v>3</v>
      </c>
      <c r="C4">
        <f>Prices!C4-25</f>
        <v>-25</v>
      </c>
      <c r="D4">
        <v>5</v>
      </c>
      <c r="E4" t="s">
        <v>85</v>
      </c>
      <c r="F4">
        <f t="shared" si="0"/>
        <v>-31.25</v>
      </c>
    </row>
    <row r="5" spans="1:6" x14ac:dyDescent="0.25">
      <c r="A5" t="s">
        <v>84</v>
      </c>
      <c r="B5">
        <v>4</v>
      </c>
      <c r="C5">
        <f>Prices!C5-25</f>
        <v>-25</v>
      </c>
      <c r="D5">
        <v>5</v>
      </c>
      <c r="E5" t="s">
        <v>85</v>
      </c>
      <c r="F5">
        <f t="shared" si="0"/>
        <v>-31.25</v>
      </c>
    </row>
    <row r="6" spans="1:6" x14ac:dyDescent="0.25">
      <c r="A6" t="s">
        <v>84</v>
      </c>
      <c r="B6">
        <v>5</v>
      </c>
      <c r="C6">
        <f>Prices!C6-25</f>
        <v>-25</v>
      </c>
      <c r="D6">
        <v>5</v>
      </c>
      <c r="E6" t="s">
        <v>85</v>
      </c>
      <c r="F6">
        <f t="shared" si="0"/>
        <v>-31.25</v>
      </c>
    </row>
    <row r="7" spans="1:6" x14ac:dyDescent="0.25">
      <c r="A7" t="s">
        <v>84</v>
      </c>
      <c r="B7">
        <v>6</v>
      </c>
      <c r="C7">
        <f>Prices!C7-25</f>
        <v>-25</v>
      </c>
      <c r="D7">
        <v>5</v>
      </c>
      <c r="E7" t="s">
        <v>85</v>
      </c>
      <c r="F7">
        <f t="shared" si="0"/>
        <v>-31.25</v>
      </c>
    </row>
    <row r="8" spans="1:6" x14ac:dyDescent="0.25">
      <c r="A8" t="s">
        <v>84</v>
      </c>
      <c r="B8">
        <v>7</v>
      </c>
      <c r="C8">
        <f>Prices!C8-25</f>
        <v>-25</v>
      </c>
      <c r="D8">
        <v>5</v>
      </c>
      <c r="E8" t="s">
        <v>85</v>
      </c>
      <c r="F8">
        <f t="shared" si="0"/>
        <v>-31.25</v>
      </c>
    </row>
    <row r="9" spans="1:6" x14ac:dyDescent="0.25">
      <c r="A9" t="s">
        <v>84</v>
      </c>
      <c r="B9">
        <v>8</v>
      </c>
      <c r="C9">
        <f>Prices!C9-25</f>
        <v>-25</v>
      </c>
      <c r="D9">
        <v>5</v>
      </c>
      <c r="E9" t="s">
        <v>85</v>
      </c>
      <c r="F9">
        <f t="shared" si="0"/>
        <v>-31.25</v>
      </c>
    </row>
    <row r="10" spans="1:6" x14ac:dyDescent="0.25">
      <c r="A10" t="s">
        <v>84</v>
      </c>
      <c r="B10">
        <v>9</v>
      </c>
      <c r="C10">
        <f>Prices!C10-25</f>
        <v>-25</v>
      </c>
      <c r="D10">
        <v>5</v>
      </c>
      <c r="E10" t="s">
        <v>85</v>
      </c>
      <c r="F10">
        <f t="shared" si="0"/>
        <v>-31.25</v>
      </c>
    </row>
    <row r="11" spans="1:6" x14ac:dyDescent="0.25">
      <c r="A11" t="s">
        <v>84</v>
      </c>
      <c r="B11">
        <v>10</v>
      </c>
      <c r="C11">
        <f>Prices!C11-25</f>
        <v>-25</v>
      </c>
      <c r="D11">
        <v>5</v>
      </c>
      <c r="E11" t="s">
        <v>85</v>
      </c>
      <c r="F11">
        <f t="shared" si="0"/>
        <v>-31.25</v>
      </c>
    </row>
    <row r="12" spans="1:6" x14ac:dyDescent="0.25">
      <c r="A12" t="s">
        <v>84</v>
      </c>
      <c r="B12">
        <v>11</v>
      </c>
      <c r="C12">
        <f>Prices!C12-25</f>
        <v>-25</v>
      </c>
      <c r="D12">
        <v>5</v>
      </c>
      <c r="E12" t="s">
        <v>85</v>
      </c>
      <c r="F12">
        <f t="shared" si="0"/>
        <v>-31.25</v>
      </c>
    </row>
    <row r="13" spans="1:6" x14ac:dyDescent="0.25">
      <c r="A13" t="s">
        <v>84</v>
      </c>
      <c r="B13">
        <v>12</v>
      </c>
      <c r="C13">
        <f>Prices!C13-25</f>
        <v>-25</v>
      </c>
      <c r="D13">
        <v>5</v>
      </c>
      <c r="E13" t="s">
        <v>85</v>
      </c>
      <c r="F13">
        <f t="shared" si="0"/>
        <v>-31.25</v>
      </c>
    </row>
    <row r="14" spans="1:6" x14ac:dyDescent="0.25">
      <c r="A14" t="s">
        <v>84</v>
      </c>
      <c r="B14">
        <v>13</v>
      </c>
      <c r="C14">
        <f>Prices!C14-25</f>
        <v>-25</v>
      </c>
      <c r="D14">
        <v>5</v>
      </c>
      <c r="E14" t="s">
        <v>85</v>
      </c>
      <c r="F14">
        <f t="shared" si="0"/>
        <v>-31.25</v>
      </c>
    </row>
    <row r="15" spans="1:6" x14ac:dyDescent="0.25">
      <c r="A15" t="s">
        <v>84</v>
      </c>
      <c r="B15">
        <v>14</v>
      </c>
      <c r="C15">
        <f>Prices!C15-25</f>
        <v>-25</v>
      </c>
      <c r="D15">
        <v>5</v>
      </c>
      <c r="E15" t="s">
        <v>85</v>
      </c>
      <c r="F15">
        <f t="shared" si="0"/>
        <v>-31.25</v>
      </c>
    </row>
    <row r="16" spans="1:6" x14ac:dyDescent="0.25">
      <c r="A16" t="s">
        <v>84</v>
      </c>
      <c r="B16">
        <v>15</v>
      </c>
      <c r="C16">
        <f>Prices!C16-25</f>
        <v>-25</v>
      </c>
      <c r="D16">
        <v>5</v>
      </c>
      <c r="E16" t="s">
        <v>85</v>
      </c>
      <c r="F16">
        <f t="shared" si="0"/>
        <v>-31.25</v>
      </c>
    </row>
    <row r="17" spans="1:6" x14ac:dyDescent="0.25">
      <c r="A17" t="s">
        <v>84</v>
      </c>
      <c r="B17">
        <v>16</v>
      </c>
      <c r="C17">
        <f>Prices!C17-25</f>
        <v>-25</v>
      </c>
      <c r="D17">
        <v>5</v>
      </c>
      <c r="E17" t="s">
        <v>85</v>
      </c>
      <c r="F17">
        <f t="shared" si="0"/>
        <v>-31.25</v>
      </c>
    </row>
    <row r="18" spans="1:6" x14ac:dyDescent="0.25">
      <c r="A18" t="s">
        <v>84</v>
      </c>
      <c r="B18">
        <v>17</v>
      </c>
      <c r="C18">
        <f>Prices!C18-25</f>
        <v>-25</v>
      </c>
      <c r="D18">
        <v>5</v>
      </c>
      <c r="E18" t="s">
        <v>85</v>
      </c>
      <c r="F18">
        <f t="shared" si="0"/>
        <v>-31.25</v>
      </c>
    </row>
    <row r="19" spans="1:6" x14ac:dyDescent="0.25">
      <c r="A19" t="s">
        <v>84</v>
      </c>
      <c r="B19">
        <v>18</v>
      </c>
      <c r="C19">
        <f>Prices!C19-25</f>
        <v>-25</v>
      </c>
      <c r="D19">
        <v>5</v>
      </c>
      <c r="E19" t="s">
        <v>85</v>
      </c>
      <c r="F19">
        <f t="shared" si="0"/>
        <v>-31.25</v>
      </c>
    </row>
    <row r="20" spans="1:6" x14ac:dyDescent="0.25">
      <c r="A20" t="s">
        <v>84</v>
      </c>
      <c r="B20">
        <v>19</v>
      </c>
      <c r="C20">
        <f>Prices!C20-25</f>
        <v>-25</v>
      </c>
      <c r="D20">
        <v>5</v>
      </c>
      <c r="E20" t="s">
        <v>85</v>
      </c>
      <c r="F20">
        <f t="shared" si="0"/>
        <v>-31.25</v>
      </c>
    </row>
    <row r="21" spans="1:6" x14ac:dyDescent="0.25">
      <c r="A21" t="s">
        <v>84</v>
      </c>
      <c r="B21">
        <v>20</v>
      </c>
      <c r="C21">
        <f>Prices!C21-25</f>
        <v>-25</v>
      </c>
      <c r="D21">
        <v>5</v>
      </c>
      <c r="E21" t="s">
        <v>85</v>
      </c>
      <c r="F21">
        <f t="shared" si="0"/>
        <v>-31.25</v>
      </c>
    </row>
    <row r="22" spans="1:6" x14ac:dyDescent="0.25">
      <c r="A22" t="s">
        <v>84</v>
      </c>
      <c r="B22">
        <v>21</v>
      </c>
      <c r="C22">
        <f>Prices!C22-25</f>
        <v>-25</v>
      </c>
      <c r="D22">
        <v>5</v>
      </c>
      <c r="E22" t="s">
        <v>85</v>
      </c>
      <c r="F22">
        <f t="shared" si="0"/>
        <v>-31.25</v>
      </c>
    </row>
    <row r="23" spans="1:6" x14ac:dyDescent="0.25">
      <c r="A23" t="s">
        <v>84</v>
      </c>
      <c r="B23">
        <v>22</v>
      </c>
      <c r="C23">
        <f>Prices!C23-25</f>
        <v>-25</v>
      </c>
      <c r="D23">
        <v>5</v>
      </c>
      <c r="E23" t="s">
        <v>85</v>
      </c>
      <c r="F23">
        <f t="shared" si="0"/>
        <v>-31.25</v>
      </c>
    </row>
    <row r="24" spans="1:6" x14ac:dyDescent="0.25">
      <c r="A24" t="s">
        <v>84</v>
      </c>
      <c r="B24">
        <v>23</v>
      </c>
      <c r="C24">
        <f>Prices!C24-25</f>
        <v>-25</v>
      </c>
      <c r="D24">
        <v>5</v>
      </c>
      <c r="E24" t="s">
        <v>85</v>
      </c>
      <c r="F24">
        <f t="shared" si="0"/>
        <v>-31.25</v>
      </c>
    </row>
    <row r="25" spans="1:6" x14ac:dyDescent="0.25">
      <c r="A25" t="s">
        <v>84</v>
      </c>
      <c r="B25">
        <v>24</v>
      </c>
      <c r="C25">
        <f>Prices!C25-25</f>
        <v>-25</v>
      </c>
      <c r="D25">
        <v>5</v>
      </c>
      <c r="E25" t="s">
        <v>85</v>
      </c>
      <c r="F25">
        <f t="shared" si="0"/>
        <v>-31.25</v>
      </c>
    </row>
    <row r="26" spans="1:6" x14ac:dyDescent="0.25">
      <c r="A26" t="s">
        <v>84</v>
      </c>
      <c r="B26">
        <v>25</v>
      </c>
      <c r="C26">
        <f>Prices!C26-25</f>
        <v>-25</v>
      </c>
      <c r="D26">
        <v>5</v>
      </c>
      <c r="E26" t="s">
        <v>85</v>
      </c>
      <c r="F26">
        <f t="shared" si="0"/>
        <v>-31.25</v>
      </c>
    </row>
    <row r="27" spans="1:6" x14ac:dyDescent="0.25">
      <c r="A27" t="s">
        <v>84</v>
      </c>
      <c r="B27">
        <v>26</v>
      </c>
      <c r="C27">
        <f>Prices!C27-25</f>
        <v>-25</v>
      </c>
      <c r="D27">
        <v>5</v>
      </c>
      <c r="E27" t="s">
        <v>85</v>
      </c>
      <c r="F27">
        <f t="shared" si="0"/>
        <v>-31.25</v>
      </c>
    </row>
    <row r="28" spans="1:6" x14ac:dyDescent="0.25">
      <c r="A28" t="s">
        <v>84</v>
      </c>
      <c r="B28">
        <v>27</v>
      </c>
      <c r="C28">
        <f>Prices!C28-25</f>
        <v>-25</v>
      </c>
      <c r="D28">
        <v>5</v>
      </c>
      <c r="E28" t="s">
        <v>85</v>
      </c>
      <c r="F28">
        <f t="shared" si="0"/>
        <v>-31.25</v>
      </c>
    </row>
    <row r="29" spans="1:6" x14ac:dyDescent="0.25">
      <c r="A29" t="s">
        <v>84</v>
      </c>
      <c r="B29">
        <v>28</v>
      </c>
      <c r="C29">
        <f>Prices!C29-25</f>
        <v>-25</v>
      </c>
      <c r="D29">
        <v>5</v>
      </c>
      <c r="E29" t="s">
        <v>85</v>
      </c>
      <c r="F29">
        <f t="shared" si="0"/>
        <v>-31.25</v>
      </c>
    </row>
    <row r="30" spans="1:6" x14ac:dyDescent="0.25">
      <c r="A30" t="s">
        <v>84</v>
      </c>
      <c r="B30">
        <v>29</v>
      </c>
      <c r="C30">
        <f>Prices!C30-25</f>
        <v>-25</v>
      </c>
      <c r="D30">
        <v>5</v>
      </c>
      <c r="E30" t="s">
        <v>85</v>
      </c>
      <c r="F30">
        <f t="shared" si="0"/>
        <v>-31.25</v>
      </c>
    </row>
    <row r="31" spans="1:6" x14ac:dyDescent="0.25">
      <c r="A31" t="s">
        <v>84</v>
      </c>
      <c r="B31">
        <v>30</v>
      </c>
      <c r="C31">
        <f>Prices!C31-25</f>
        <v>-25</v>
      </c>
      <c r="D31">
        <v>5</v>
      </c>
      <c r="E31" t="s">
        <v>85</v>
      </c>
      <c r="F31">
        <f t="shared" si="0"/>
        <v>-31.25</v>
      </c>
    </row>
    <row r="32" spans="1:6" x14ac:dyDescent="0.25">
      <c r="A32" t="s">
        <v>84</v>
      </c>
      <c r="B32">
        <v>31</v>
      </c>
      <c r="C32">
        <f>Prices!C32-25</f>
        <v>-25</v>
      </c>
      <c r="D32">
        <v>5</v>
      </c>
      <c r="E32" t="s">
        <v>85</v>
      </c>
      <c r="F32">
        <f t="shared" si="0"/>
        <v>-31.25</v>
      </c>
    </row>
    <row r="33" spans="1:6" x14ac:dyDescent="0.25">
      <c r="A33" t="s">
        <v>84</v>
      </c>
      <c r="B33">
        <v>32</v>
      </c>
      <c r="C33">
        <f>Prices!C33-25</f>
        <v>-25</v>
      </c>
      <c r="D33">
        <v>5</v>
      </c>
      <c r="E33" t="s">
        <v>85</v>
      </c>
      <c r="F33">
        <f t="shared" si="0"/>
        <v>-31.25</v>
      </c>
    </row>
    <row r="34" spans="1:6" x14ac:dyDescent="0.25">
      <c r="A34" t="s">
        <v>84</v>
      </c>
      <c r="B34">
        <v>33</v>
      </c>
      <c r="C34">
        <f>Prices!C34-25</f>
        <v>-25</v>
      </c>
      <c r="D34">
        <v>5</v>
      </c>
      <c r="E34" t="s">
        <v>85</v>
      </c>
      <c r="F34">
        <f t="shared" ref="F34:F65" si="1">C34*D34/4</f>
        <v>-31.25</v>
      </c>
    </row>
    <row r="35" spans="1:6" x14ac:dyDescent="0.25">
      <c r="A35" t="s">
        <v>84</v>
      </c>
      <c r="B35">
        <v>34</v>
      </c>
      <c r="C35">
        <f>Prices!C35-25</f>
        <v>-25</v>
      </c>
      <c r="D35">
        <v>5</v>
      </c>
      <c r="E35" t="s">
        <v>85</v>
      </c>
      <c r="F35">
        <f t="shared" si="1"/>
        <v>-31.25</v>
      </c>
    </row>
    <row r="36" spans="1:6" x14ac:dyDescent="0.25">
      <c r="A36" t="s">
        <v>84</v>
      </c>
      <c r="B36">
        <v>35</v>
      </c>
      <c r="C36">
        <f>Prices!C36-25</f>
        <v>-25</v>
      </c>
      <c r="D36">
        <v>5</v>
      </c>
      <c r="E36" t="s">
        <v>85</v>
      </c>
      <c r="F36">
        <f t="shared" si="1"/>
        <v>-31.25</v>
      </c>
    </row>
    <row r="37" spans="1:6" x14ac:dyDescent="0.25">
      <c r="A37" t="s">
        <v>84</v>
      </c>
      <c r="B37">
        <v>36</v>
      </c>
      <c r="C37">
        <f>Prices!C37-25</f>
        <v>-25</v>
      </c>
      <c r="D37">
        <v>5</v>
      </c>
      <c r="E37" t="s">
        <v>85</v>
      </c>
      <c r="F37">
        <f t="shared" si="1"/>
        <v>-31.25</v>
      </c>
    </row>
    <row r="38" spans="1:6" x14ac:dyDescent="0.25">
      <c r="A38" t="s">
        <v>84</v>
      </c>
      <c r="B38">
        <v>37</v>
      </c>
      <c r="C38">
        <f>Prices!C38-25</f>
        <v>-25</v>
      </c>
      <c r="D38">
        <v>5</v>
      </c>
      <c r="E38" t="s">
        <v>85</v>
      </c>
      <c r="F38">
        <f t="shared" si="1"/>
        <v>-31.25</v>
      </c>
    </row>
    <row r="39" spans="1:6" x14ac:dyDescent="0.25">
      <c r="A39" t="s">
        <v>84</v>
      </c>
      <c r="B39">
        <v>38</v>
      </c>
      <c r="C39">
        <f>Prices!C39-25</f>
        <v>-25</v>
      </c>
      <c r="D39">
        <v>5</v>
      </c>
      <c r="E39" t="s">
        <v>85</v>
      </c>
      <c r="F39">
        <f t="shared" si="1"/>
        <v>-31.25</v>
      </c>
    </row>
    <row r="40" spans="1:6" x14ac:dyDescent="0.25">
      <c r="A40" t="s">
        <v>84</v>
      </c>
      <c r="B40">
        <v>39</v>
      </c>
      <c r="C40">
        <f>Prices!C40-25</f>
        <v>-25</v>
      </c>
      <c r="D40">
        <v>5</v>
      </c>
      <c r="E40" t="s">
        <v>85</v>
      </c>
      <c r="F40">
        <f t="shared" si="1"/>
        <v>-31.25</v>
      </c>
    </row>
    <row r="41" spans="1:6" x14ac:dyDescent="0.25">
      <c r="A41" t="s">
        <v>84</v>
      </c>
      <c r="B41">
        <v>40</v>
      </c>
      <c r="C41">
        <f>Prices!C41-25</f>
        <v>-25</v>
      </c>
      <c r="D41">
        <v>5</v>
      </c>
      <c r="E41" t="s">
        <v>85</v>
      </c>
      <c r="F41">
        <f t="shared" si="1"/>
        <v>-31.25</v>
      </c>
    </row>
    <row r="42" spans="1:6" x14ac:dyDescent="0.25">
      <c r="A42" t="s">
        <v>84</v>
      </c>
      <c r="B42">
        <v>41</v>
      </c>
      <c r="C42">
        <f>Prices!C42-25</f>
        <v>-25</v>
      </c>
      <c r="D42">
        <v>5</v>
      </c>
      <c r="E42" t="s">
        <v>85</v>
      </c>
      <c r="F42">
        <f t="shared" si="1"/>
        <v>-31.25</v>
      </c>
    </row>
    <row r="43" spans="1:6" x14ac:dyDescent="0.25">
      <c r="A43" t="s">
        <v>84</v>
      </c>
      <c r="B43">
        <v>42</v>
      </c>
      <c r="C43">
        <f>Prices!C43-25</f>
        <v>-25</v>
      </c>
      <c r="D43">
        <v>5</v>
      </c>
      <c r="E43" t="s">
        <v>85</v>
      </c>
      <c r="F43">
        <f t="shared" si="1"/>
        <v>-31.25</v>
      </c>
    </row>
    <row r="44" spans="1:6" x14ac:dyDescent="0.25">
      <c r="A44" t="s">
        <v>84</v>
      </c>
      <c r="B44">
        <v>43</v>
      </c>
      <c r="C44">
        <f>Prices!C44-25</f>
        <v>-25</v>
      </c>
      <c r="D44">
        <v>5</v>
      </c>
      <c r="E44" t="s">
        <v>85</v>
      </c>
      <c r="F44">
        <f t="shared" si="1"/>
        <v>-31.25</v>
      </c>
    </row>
    <row r="45" spans="1:6" x14ac:dyDescent="0.25">
      <c r="A45" t="s">
        <v>84</v>
      </c>
      <c r="B45">
        <v>44</v>
      </c>
      <c r="C45">
        <f>Prices!C45-25</f>
        <v>-25</v>
      </c>
      <c r="D45">
        <v>5</v>
      </c>
      <c r="E45" t="s">
        <v>85</v>
      </c>
      <c r="F45">
        <f t="shared" si="1"/>
        <v>-31.25</v>
      </c>
    </row>
    <row r="46" spans="1:6" x14ac:dyDescent="0.25">
      <c r="A46" t="s">
        <v>84</v>
      </c>
      <c r="B46">
        <v>45</v>
      </c>
      <c r="C46">
        <f>Prices!C46-25</f>
        <v>-25</v>
      </c>
      <c r="D46">
        <v>5</v>
      </c>
      <c r="E46" t="s">
        <v>85</v>
      </c>
      <c r="F46">
        <f t="shared" si="1"/>
        <v>-31.25</v>
      </c>
    </row>
    <row r="47" spans="1:6" x14ac:dyDescent="0.25">
      <c r="A47" t="s">
        <v>84</v>
      </c>
      <c r="B47">
        <v>46</v>
      </c>
      <c r="C47">
        <f>Prices!C47-25</f>
        <v>-25</v>
      </c>
      <c r="D47">
        <v>5</v>
      </c>
      <c r="E47" t="s">
        <v>85</v>
      </c>
      <c r="F47">
        <f t="shared" si="1"/>
        <v>-31.25</v>
      </c>
    </row>
    <row r="48" spans="1:6" x14ac:dyDescent="0.25">
      <c r="A48" t="s">
        <v>84</v>
      </c>
      <c r="B48">
        <v>47</v>
      </c>
      <c r="C48">
        <f>Prices!C48-25</f>
        <v>-25</v>
      </c>
      <c r="D48">
        <v>5</v>
      </c>
      <c r="E48" t="s">
        <v>85</v>
      </c>
      <c r="F48">
        <f t="shared" si="1"/>
        <v>-31.25</v>
      </c>
    </row>
    <row r="49" spans="1:6" x14ac:dyDescent="0.25">
      <c r="A49" t="s">
        <v>84</v>
      </c>
      <c r="B49">
        <v>48</v>
      </c>
      <c r="C49">
        <f>Prices!C49-25</f>
        <v>-25</v>
      </c>
      <c r="D49">
        <v>5</v>
      </c>
      <c r="E49" t="s">
        <v>85</v>
      </c>
      <c r="F49">
        <f t="shared" si="1"/>
        <v>-31.25</v>
      </c>
    </row>
    <row r="50" spans="1:6" x14ac:dyDescent="0.25">
      <c r="A50" t="s">
        <v>84</v>
      </c>
      <c r="B50">
        <v>49</v>
      </c>
      <c r="C50">
        <f>Prices!C50-25</f>
        <v>-25</v>
      </c>
      <c r="D50">
        <v>5</v>
      </c>
      <c r="E50" t="s">
        <v>85</v>
      </c>
      <c r="F50">
        <f t="shared" si="1"/>
        <v>-31.25</v>
      </c>
    </row>
    <row r="51" spans="1:6" x14ac:dyDescent="0.25">
      <c r="A51" t="s">
        <v>84</v>
      </c>
      <c r="B51">
        <v>50</v>
      </c>
      <c r="C51">
        <f>Prices!C51-25</f>
        <v>-25</v>
      </c>
      <c r="D51">
        <v>5</v>
      </c>
      <c r="E51" t="s">
        <v>85</v>
      </c>
      <c r="F51">
        <f t="shared" si="1"/>
        <v>-31.25</v>
      </c>
    </row>
    <row r="52" spans="1:6" x14ac:dyDescent="0.25">
      <c r="A52" t="s">
        <v>84</v>
      </c>
      <c r="B52">
        <v>51</v>
      </c>
      <c r="C52">
        <f>Prices!C52-25</f>
        <v>-25</v>
      </c>
      <c r="D52">
        <v>5</v>
      </c>
      <c r="E52" t="s">
        <v>85</v>
      </c>
      <c r="F52">
        <f t="shared" si="1"/>
        <v>-31.25</v>
      </c>
    </row>
    <row r="53" spans="1:6" x14ac:dyDescent="0.25">
      <c r="A53" t="s">
        <v>84</v>
      </c>
      <c r="B53">
        <v>52</v>
      </c>
      <c r="C53">
        <f>Prices!C53-25</f>
        <v>-25</v>
      </c>
      <c r="D53">
        <v>5</v>
      </c>
      <c r="E53" t="s">
        <v>85</v>
      </c>
      <c r="F53">
        <f t="shared" si="1"/>
        <v>-31.25</v>
      </c>
    </row>
    <row r="54" spans="1:6" x14ac:dyDescent="0.25">
      <c r="A54" t="s">
        <v>84</v>
      </c>
      <c r="B54">
        <v>53</v>
      </c>
      <c r="C54">
        <f>Prices!C54-25</f>
        <v>-25</v>
      </c>
      <c r="D54">
        <v>5</v>
      </c>
      <c r="E54" t="s">
        <v>85</v>
      </c>
      <c r="F54">
        <f t="shared" si="1"/>
        <v>-31.25</v>
      </c>
    </row>
    <row r="55" spans="1:6" x14ac:dyDescent="0.25">
      <c r="A55" t="s">
        <v>84</v>
      </c>
      <c r="B55">
        <v>54</v>
      </c>
      <c r="C55">
        <f>Prices!C55-25</f>
        <v>-25</v>
      </c>
      <c r="D55">
        <v>5</v>
      </c>
      <c r="E55" t="s">
        <v>85</v>
      </c>
      <c r="F55">
        <f t="shared" si="1"/>
        <v>-31.25</v>
      </c>
    </row>
    <row r="56" spans="1:6" x14ac:dyDescent="0.25">
      <c r="A56" t="s">
        <v>84</v>
      </c>
      <c r="B56">
        <v>55</v>
      </c>
      <c r="C56">
        <f>Prices!C56-25</f>
        <v>-25</v>
      </c>
      <c r="D56">
        <v>5</v>
      </c>
      <c r="E56" t="s">
        <v>85</v>
      </c>
      <c r="F56">
        <f t="shared" si="1"/>
        <v>-31.25</v>
      </c>
    </row>
    <row r="57" spans="1:6" x14ac:dyDescent="0.25">
      <c r="A57" t="s">
        <v>84</v>
      </c>
      <c r="B57">
        <v>56</v>
      </c>
      <c r="C57">
        <f>Prices!C57-25</f>
        <v>-25</v>
      </c>
      <c r="D57">
        <v>5</v>
      </c>
      <c r="E57" t="s">
        <v>85</v>
      </c>
      <c r="F57">
        <f t="shared" si="1"/>
        <v>-31.25</v>
      </c>
    </row>
    <row r="58" spans="1:6" x14ac:dyDescent="0.25">
      <c r="A58" t="s">
        <v>84</v>
      </c>
      <c r="B58">
        <v>57</v>
      </c>
      <c r="C58">
        <f>Prices!C58-25</f>
        <v>-25</v>
      </c>
      <c r="D58">
        <v>5</v>
      </c>
      <c r="E58" t="s">
        <v>85</v>
      </c>
      <c r="F58">
        <f t="shared" si="1"/>
        <v>-31.25</v>
      </c>
    </row>
    <row r="59" spans="1:6" x14ac:dyDescent="0.25">
      <c r="A59" t="s">
        <v>84</v>
      </c>
      <c r="B59">
        <v>58</v>
      </c>
      <c r="C59">
        <f>Prices!C59-25</f>
        <v>-25</v>
      </c>
      <c r="D59">
        <v>5</v>
      </c>
      <c r="E59" t="s">
        <v>85</v>
      </c>
      <c r="F59">
        <f t="shared" si="1"/>
        <v>-31.25</v>
      </c>
    </row>
    <row r="60" spans="1:6" x14ac:dyDescent="0.25">
      <c r="A60" t="s">
        <v>84</v>
      </c>
      <c r="B60">
        <v>59</v>
      </c>
      <c r="C60">
        <f>Prices!C60-25</f>
        <v>-25</v>
      </c>
      <c r="D60">
        <v>5</v>
      </c>
      <c r="E60" t="s">
        <v>85</v>
      </c>
      <c r="F60">
        <f t="shared" si="1"/>
        <v>-31.25</v>
      </c>
    </row>
    <row r="61" spans="1:6" x14ac:dyDescent="0.25">
      <c r="A61" t="s">
        <v>84</v>
      </c>
      <c r="B61">
        <v>60</v>
      </c>
      <c r="C61">
        <f>Prices!C61-25</f>
        <v>-25</v>
      </c>
      <c r="D61">
        <v>5</v>
      </c>
      <c r="E61" t="s">
        <v>85</v>
      </c>
      <c r="F61">
        <f t="shared" si="1"/>
        <v>-31.25</v>
      </c>
    </row>
    <row r="62" spans="1:6" x14ac:dyDescent="0.25">
      <c r="A62" t="s">
        <v>84</v>
      </c>
      <c r="B62">
        <v>61</v>
      </c>
      <c r="C62">
        <f>Prices!C62-25</f>
        <v>-25</v>
      </c>
      <c r="D62">
        <v>5</v>
      </c>
      <c r="E62" t="s">
        <v>85</v>
      </c>
      <c r="F62">
        <f t="shared" si="1"/>
        <v>-31.25</v>
      </c>
    </row>
    <row r="63" spans="1:6" x14ac:dyDescent="0.25">
      <c r="A63" t="s">
        <v>84</v>
      </c>
      <c r="B63">
        <v>62</v>
      </c>
      <c r="C63">
        <f>Prices!C63-25</f>
        <v>-25</v>
      </c>
      <c r="D63">
        <v>5</v>
      </c>
      <c r="E63" t="s">
        <v>85</v>
      </c>
      <c r="F63">
        <f t="shared" si="1"/>
        <v>-31.25</v>
      </c>
    </row>
    <row r="64" spans="1:6" x14ac:dyDescent="0.25">
      <c r="A64" t="s">
        <v>84</v>
      </c>
      <c r="B64">
        <v>63</v>
      </c>
      <c r="C64">
        <f>Prices!C64-25</f>
        <v>-25</v>
      </c>
      <c r="D64">
        <v>5</v>
      </c>
      <c r="E64" t="s">
        <v>85</v>
      </c>
      <c r="F64">
        <f t="shared" si="1"/>
        <v>-31.25</v>
      </c>
    </row>
    <row r="65" spans="1:6" x14ac:dyDescent="0.25">
      <c r="A65" t="s">
        <v>84</v>
      </c>
      <c r="B65">
        <v>64</v>
      </c>
      <c r="C65">
        <f>Prices!C65-25</f>
        <v>-25</v>
      </c>
      <c r="D65">
        <v>5</v>
      </c>
      <c r="E65" t="s">
        <v>85</v>
      </c>
      <c r="F65">
        <f t="shared" si="1"/>
        <v>-31.25</v>
      </c>
    </row>
    <row r="66" spans="1:6" x14ac:dyDescent="0.25">
      <c r="A66" t="s">
        <v>84</v>
      </c>
      <c r="B66">
        <v>65</v>
      </c>
      <c r="C66">
        <f>Prices!C66-25</f>
        <v>-25</v>
      </c>
      <c r="D66">
        <v>5</v>
      </c>
      <c r="E66" t="s">
        <v>85</v>
      </c>
      <c r="F66">
        <f t="shared" ref="F66:F97" si="2">C66*D66/4</f>
        <v>-31.25</v>
      </c>
    </row>
    <row r="67" spans="1:6" x14ac:dyDescent="0.25">
      <c r="A67" t="s">
        <v>84</v>
      </c>
      <c r="B67">
        <v>66</v>
      </c>
      <c r="C67">
        <f>Prices!C67-25</f>
        <v>-25</v>
      </c>
      <c r="D67">
        <v>5</v>
      </c>
      <c r="E67" t="s">
        <v>85</v>
      </c>
      <c r="F67">
        <f t="shared" si="2"/>
        <v>-31.25</v>
      </c>
    </row>
    <row r="68" spans="1:6" x14ac:dyDescent="0.25">
      <c r="A68" t="s">
        <v>84</v>
      </c>
      <c r="B68">
        <v>67</v>
      </c>
      <c r="C68">
        <f>Prices!C68-25</f>
        <v>-25</v>
      </c>
      <c r="D68">
        <v>5</v>
      </c>
      <c r="E68" t="s">
        <v>85</v>
      </c>
      <c r="F68">
        <f t="shared" si="2"/>
        <v>-31.25</v>
      </c>
    </row>
    <row r="69" spans="1:6" x14ac:dyDescent="0.25">
      <c r="A69" t="s">
        <v>84</v>
      </c>
      <c r="B69">
        <v>68</v>
      </c>
      <c r="C69">
        <f>Prices!C69-25</f>
        <v>-25</v>
      </c>
      <c r="D69">
        <v>5</v>
      </c>
      <c r="E69" t="s">
        <v>85</v>
      </c>
      <c r="F69">
        <f t="shared" si="2"/>
        <v>-31.25</v>
      </c>
    </row>
    <row r="70" spans="1:6" x14ac:dyDescent="0.25">
      <c r="A70" t="s">
        <v>84</v>
      </c>
      <c r="B70">
        <v>69</v>
      </c>
      <c r="C70">
        <f>Prices!C70-25</f>
        <v>-25</v>
      </c>
      <c r="D70">
        <v>5</v>
      </c>
      <c r="E70" t="s">
        <v>85</v>
      </c>
      <c r="F70">
        <f t="shared" si="2"/>
        <v>-31.25</v>
      </c>
    </row>
    <row r="71" spans="1:6" x14ac:dyDescent="0.25">
      <c r="A71" t="s">
        <v>84</v>
      </c>
      <c r="B71">
        <v>70</v>
      </c>
      <c r="C71">
        <f>Prices!C71-25</f>
        <v>-25</v>
      </c>
      <c r="D71">
        <v>5</v>
      </c>
      <c r="E71" t="s">
        <v>85</v>
      </c>
      <c r="F71">
        <f t="shared" si="2"/>
        <v>-31.25</v>
      </c>
    </row>
    <row r="72" spans="1:6" x14ac:dyDescent="0.25">
      <c r="A72" t="s">
        <v>84</v>
      </c>
      <c r="B72">
        <v>71</v>
      </c>
      <c r="C72">
        <f>Prices!C72-25</f>
        <v>-25</v>
      </c>
      <c r="D72">
        <v>5</v>
      </c>
      <c r="E72" t="s">
        <v>85</v>
      </c>
      <c r="F72">
        <f t="shared" si="2"/>
        <v>-31.25</v>
      </c>
    </row>
    <row r="73" spans="1:6" x14ac:dyDescent="0.25">
      <c r="A73" t="s">
        <v>84</v>
      </c>
      <c r="B73">
        <v>72</v>
      </c>
      <c r="C73">
        <f>Prices!C73-25</f>
        <v>-25</v>
      </c>
      <c r="D73">
        <v>5</v>
      </c>
      <c r="E73" t="s">
        <v>85</v>
      </c>
      <c r="F73">
        <f t="shared" si="2"/>
        <v>-31.25</v>
      </c>
    </row>
    <row r="74" spans="1:6" x14ac:dyDescent="0.25">
      <c r="A74" t="s">
        <v>84</v>
      </c>
      <c r="B74">
        <v>73</v>
      </c>
      <c r="C74">
        <f>Prices!C74-25</f>
        <v>-25</v>
      </c>
      <c r="D74">
        <v>5</v>
      </c>
      <c r="E74" t="s">
        <v>85</v>
      </c>
      <c r="F74">
        <f t="shared" si="2"/>
        <v>-31.25</v>
      </c>
    </row>
    <row r="75" spans="1:6" x14ac:dyDescent="0.25">
      <c r="A75" t="s">
        <v>84</v>
      </c>
      <c r="B75">
        <v>74</v>
      </c>
      <c r="C75">
        <f>Prices!C75-25</f>
        <v>-25</v>
      </c>
      <c r="D75">
        <v>5</v>
      </c>
      <c r="E75" t="s">
        <v>85</v>
      </c>
      <c r="F75">
        <f t="shared" si="2"/>
        <v>-31.25</v>
      </c>
    </row>
    <row r="76" spans="1:6" x14ac:dyDescent="0.25">
      <c r="A76" t="s">
        <v>84</v>
      </c>
      <c r="B76">
        <v>75</v>
      </c>
      <c r="C76">
        <f>Prices!C76-25</f>
        <v>-25</v>
      </c>
      <c r="D76">
        <v>5</v>
      </c>
      <c r="E76" t="s">
        <v>85</v>
      </c>
      <c r="F76">
        <f t="shared" si="2"/>
        <v>-31.25</v>
      </c>
    </row>
    <row r="77" spans="1:6" x14ac:dyDescent="0.25">
      <c r="A77" t="s">
        <v>84</v>
      </c>
      <c r="B77">
        <v>76</v>
      </c>
      <c r="C77">
        <f>Prices!C77-25</f>
        <v>-25</v>
      </c>
      <c r="D77">
        <v>5</v>
      </c>
      <c r="E77" t="s">
        <v>85</v>
      </c>
      <c r="F77">
        <f t="shared" si="2"/>
        <v>-31.25</v>
      </c>
    </row>
    <row r="78" spans="1:6" x14ac:dyDescent="0.25">
      <c r="A78" t="s">
        <v>84</v>
      </c>
      <c r="B78">
        <v>77</v>
      </c>
      <c r="C78">
        <f>Prices!C78-25</f>
        <v>-25</v>
      </c>
      <c r="D78">
        <v>5</v>
      </c>
      <c r="E78" t="s">
        <v>85</v>
      </c>
      <c r="F78">
        <f t="shared" si="2"/>
        <v>-31.25</v>
      </c>
    </row>
    <row r="79" spans="1:6" x14ac:dyDescent="0.25">
      <c r="A79" t="s">
        <v>84</v>
      </c>
      <c r="B79">
        <v>78</v>
      </c>
      <c r="C79">
        <f>Prices!C79-25</f>
        <v>-25</v>
      </c>
      <c r="D79">
        <v>5</v>
      </c>
      <c r="E79" t="s">
        <v>85</v>
      </c>
      <c r="F79">
        <f t="shared" si="2"/>
        <v>-31.25</v>
      </c>
    </row>
    <row r="80" spans="1:6" x14ac:dyDescent="0.25">
      <c r="A80" t="s">
        <v>84</v>
      </c>
      <c r="B80">
        <v>79</v>
      </c>
      <c r="C80">
        <f>Prices!C80-25</f>
        <v>-25</v>
      </c>
      <c r="D80">
        <v>5</v>
      </c>
      <c r="E80" t="s">
        <v>85</v>
      </c>
      <c r="F80">
        <f t="shared" si="2"/>
        <v>-31.25</v>
      </c>
    </row>
    <row r="81" spans="1:6" x14ac:dyDescent="0.25">
      <c r="A81" t="s">
        <v>84</v>
      </c>
      <c r="B81">
        <v>80</v>
      </c>
      <c r="C81">
        <f>Prices!C81-25</f>
        <v>-25</v>
      </c>
      <c r="D81">
        <v>5</v>
      </c>
      <c r="E81" t="s">
        <v>85</v>
      </c>
      <c r="F81">
        <f t="shared" si="2"/>
        <v>-31.25</v>
      </c>
    </row>
    <row r="82" spans="1:6" x14ac:dyDescent="0.25">
      <c r="A82" t="s">
        <v>84</v>
      </c>
      <c r="B82">
        <v>81</v>
      </c>
      <c r="C82">
        <f>Prices!C82-25</f>
        <v>-25</v>
      </c>
      <c r="D82">
        <v>5</v>
      </c>
      <c r="E82" t="s">
        <v>85</v>
      </c>
      <c r="F82">
        <f t="shared" si="2"/>
        <v>-31.25</v>
      </c>
    </row>
    <row r="83" spans="1:6" x14ac:dyDescent="0.25">
      <c r="A83" t="s">
        <v>84</v>
      </c>
      <c r="B83">
        <v>82</v>
      </c>
      <c r="C83">
        <f>Prices!C83-25</f>
        <v>-25</v>
      </c>
      <c r="D83">
        <v>5</v>
      </c>
      <c r="E83" t="s">
        <v>85</v>
      </c>
      <c r="F83">
        <f t="shared" si="2"/>
        <v>-31.25</v>
      </c>
    </row>
    <row r="84" spans="1:6" x14ac:dyDescent="0.25">
      <c r="A84" t="s">
        <v>84</v>
      </c>
      <c r="B84">
        <v>83</v>
      </c>
      <c r="C84">
        <f>Prices!C84-25</f>
        <v>-25</v>
      </c>
      <c r="D84">
        <v>5</v>
      </c>
      <c r="E84" t="s">
        <v>85</v>
      </c>
      <c r="F84">
        <f t="shared" si="2"/>
        <v>-31.25</v>
      </c>
    </row>
    <row r="85" spans="1:6" x14ac:dyDescent="0.25">
      <c r="A85" t="s">
        <v>84</v>
      </c>
      <c r="B85">
        <v>84</v>
      </c>
      <c r="C85">
        <f>Prices!C85-25</f>
        <v>-25</v>
      </c>
      <c r="D85">
        <v>5</v>
      </c>
      <c r="E85" t="s">
        <v>85</v>
      </c>
      <c r="F85">
        <f t="shared" si="2"/>
        <v>-31.25</v>
      </c>
    </row>
    <row r="86" spans="1:6" x14ac:dyDescent="0.25">
      <c r="A86" t="s">
        <v>84</v>
      </c>
      <c r="B86">
        <v>85</v>
      </c>
      <c r="C86">
        <f>Prices!C86-25</f>
        <v>-25</v>
      </c>
      <c r="D86">
        <v>5</v>
      </c>
      <c r="E86" t="s">
        <v>85</v>
      </c>
      <c r="F86">
        <f t="shared" si="2"/>
        <v>-31.25</v>
      </c>
    </row>
    <row r="87" spans="1:6" x14ac:dyDescent="0.25">
      <c r="A87" t="s">
        <v>84</v>
      </c>
      <c r="B87">
        <v>86</v>
      </c>
      <c r="C87">
        <f>Prices!C87-25</f>
        <v>-25</v>
      </c>
      <c r="D87">
        <v>5</v>
      </c>
      <c r="E87" t="s">
        <v>85</v>
      </c>
      <c r="F87">
        <f t="shared" si="2"/>
        <v>-31.25</v>
      </c>
    </row>
    <row r="88" spans="1:6" x14ac:dyDescent="0.25">
      <c r="A88" t="s">
        <v>84</v>
      </c>
      <c r="B88">
        <v>87</v>
      </c>
      <c r="C88">
        <f>Prices!C88-25</f>
        <v>-25</v>
      </c>
      <c r="D88">
        <v>5</v>
      </c>
      <c r="E88" t="s">
        <v>85</v>
      </c>
      <c r="F88">
        <f t="shared" si="2"/>
        <v>-31.25</v>
      </c>
    </row>
    <row r="89" spans="1:6" x14ac:dyDescent="0.25">
      <c r="A89" t="s">
        <v>84</v>
      </c>
      <c r="B89">
        <v>88</v>
      </c>
      <c r="C89">
        <f>Prices!C89-25</f>
        <v>-25</v>
      </c>
      <c r="D89">
        <v>5</v>
      </c>
      <c r="E89" t="s">
        <v>85</v>
      </c>
      <c r="F89">
        <f t="shared" si="2"/>
        <v>-31.25</v>
      </c>
    </row>
    <row r="90" spans="1:6" x14ac:dyDescent="0.25">
      <c r="A90" t="s">
        <v>84</v>
      </c>
      <c r="B90">
        <v>89</v>
      </c>
      <c r="C90">
        <f>Prices!C90-25</f>
        <v>-25</v>
      </c>
      <c r="D90">
        <v>5</v>
      </c>
      <c r="E90" t="s">
        <v>85</v>
      </c>
      <c r="F90">
        <f t="shared" si="2"/>
        <v>-31.25</v>
      </c>
    </row>
    <row r="91" spans="1:6" x14ac:dyDescent="0.25">
      <c r="A91" t="s">
        <v>84</v>
      </c>
      <c r="B91">
        <v>90</v>
      </c>
      <c r="C91">
        <f>Prices!C91-25</f>
        <v>-25</v>
      </c>
      <c r="D91">
        <v>5</v>
      </c>
      <c r="E91" t="s">
        <v>85</v>
      </c>
      <c r="F91">
        <f t="shared" si="2"/>
        <v>-31.25</v>
      </c>
    </row>
    <row r="92" spans="1:6" x14ac:dyDescent="0.25">
      <c r="A92" t="s">
        <v>84</v>
      </c>
      <c r="B92">
        <v>91</v>
      </c>
      <c r="C92">
        <f>Prices!C92-25</f>
        <v>-25</v>
      </c>
      <c r="D92">
        <v>5</v>
      </c>
      <c r="E92" t="s">
        <v>85</v>
      </c>
      <c r="F92">
        <f t="shared" si="2"/>
        <v>-31.25</v>
      </c>
    </row>
    <row r="93" spans="1:6" x14ac:dyDescent="0.25">
      <c r="A93" t="s">
        <v>84</v>
      </c>
      <c r="B93">
        <v>92</v>
      </c>
      <c r="C93">
        <f>Prices!C93-25</f>
        <v>-25</v>
      </c>
      <c r="D93">
        <v>5</v>
      </c>
      <c r="E93" t="s">
        <v>85</v>
      </c>
      <c r="F93">
        <f t="shared" si="2"/>
        <v>-31.25</v>
      </c>
    </row>
    <row r="94" spans="1:6" x14ac:dyDescent="0.25">
      <c r="A94" t="s">
        <v>84</v>
      </c>
      <c r="B94">
        <v>93</v>
      </c>
      <c r="C94">
        <f>Prices!C94-25</f>
        <v>-25</v>
      </c>
      <c r="D94">
        <v>5</v>
      </c>
      <c r="E94" t="s">
        <v>85</v>
      </c>
      <c r="F94">
        <f t="shared" si="2"/>
        <v>-31.25</v>
      </c>
    </row>
    <row r="95" spans="1:6" x14ac:dyDescent="0.25">
      <c r="A95" t="s">
        <v>84</v>
      </c>
      <c r="B95">
        <v>94</v>
      </c>
      <c r="C95">
        <f>Prices!C95-25</f>
        <v>-25</v>
      </c>
      <c r="D95">
        <v>5</v>
      </c>
      <c r="E95" t="s">
        <v>85</v>
      </c>
      <c r="F95">
        <f t="shared" si="2"/>
        <v>-31.25</v>
      </c>
    </row>
    <row r="96" spans="1:6" x14ac:dyDescent="0.25">
      <c r="A96" t="s">
        <v>84</v>
      </c>
      <c r="B96">
        <v>95</v>
      </c>
      <c r="C96">
        <f>Prices!C96-25</f>
        <v>-25</v>
      </c>
      <c r="D96">
        <v>5</v>
      </c>
      <c r="E96" t="s">
        <v>85</v>
      </c>
      <c r="F96">
        <f t="shared" si="2"/>
        <v>-31.25</v>
      </c>
    </row>
    <row r="97" spans="1:6" x14ac:dyDescent="0.25">
      <c r="A97" t="s">
        <v>84</v>
      </c>
      <c r="B97">
        <v>96</v>
      </c>
      <c r="C97">
        <f>Prices!C97-25</f>
        <v>-25</v>
      </c>
      <c r="D97">
        <v>5</v>
      </c>
      <c r="E97" t="s">
        <v>85</v>
      </c>
      <c r="F97">
        <f t="shared" si="2"/>
        <v>-31.25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F97"/>
  <sheetViews>
    <sheetView workbookViewId="0">
      <selection activeCell="I5" sqref="I5:I6"/>
    </sheetView>
  </sheetViews>
  <sheetFormatPr defaultRowHeight="15" x14ac:dyDescent="0.25"/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Prices!D2-8.5</f>
        <v>-8.5</v>
      </c>
      <c r="D2">
        <v>0</v>
      </c>
      <c r="E2" t="s">
        <v>85</v>
      </c>
      <c r="F2">
        <f t="shared" ref="F2:F33" si="0">C2*D2/4</f>
        <v>0</v>
      </c>
    </row>
    <row r="3" spans="1:6" x14ac:dyDescent="0.25">
      <c r="A3" t="s">
        <v>84</v>
      </c>
      <c r="B3">
        <v>2</v>
      </c>
      <c r="C3">
        <f>Prices!D3-8.5</f>
        <v>-8.5</v>
      </c>
      <c r="D3">
        <v>0</v>
      </c>
      <c r="E3" t="s">
        <v>85</v>
      </c>
      <c r="F3">
        <f t="shared" si="0"/>
        <v>0</v>
      </c>
    </row>
    <row r="4" spans="1:6" x14ac:dyDescent="0.25">
      <c r="A4" t="s">
        <v>84</v>
      </c>
      <c r="B4">
        <v>3</v>
      </c>
      <c r="C4">
        <f>Prices!D4-8.5</f>
        <v>-8.5</v>
      </c>
      <c r="D4">
        <v>0</v>
      </c>
      <c r="E4" t="s">
        <v>85</v>
      </c>
      <c r="F4">
        <f t="shared" si="0"/>
        <v>0</v>
      </c>
    </row>
    <row r="5" spans="1:6" x14ac:dyDescent="0.25">
      <c r="A5" t="s">
        <v>84</v>
      </c>
      <c r="B5">
        <v>4</v>
      </c>
      <c r="C5">
        <f>Prices!D5-8.5</f>
        <v>-8.5</v>
      </c>
      <c r="D5">
        <v>0</v>
      </c>
      <c r="E5" t="s">
        <v>85</v>
      </c>
      <c r="F5">
        <f t="shared" si="0"/>
        <v>0</v>
      </c>
    </row>
    <row r="6" spans="1:6" x14ac:dyDescent="0.25">
      <c r="A6" t="s">
        <v>84</v>
      </c>
      <c r="B6">
        <v>5</v>
      </c>
      <c r="C6">
        <f>Prices!D6-8.5</f>
        <v>-8.5</v>
      </c>
      <c r="D6">
        <v>0</v>
      </c>
      <c r="E6" t="s">
        <v>85</v>
      </c>
      <c r="F6">
        <f t="shared" si="0"/>
        <v>0</v>
      </c>
    </row>
    <row r="7" spans="1:6" x14ac:dyDescent="0.25">
      <c r="A7" t="s">
        <v>84</v>
      </c>
      <c r="B7">
        <v>6</v>
      </c>
      <c r="C7">
        <f>Prices!D7-8.5</f>
        <v>-8.5</v>
      </c>
      <c r="D7">
        <v>0</v>
      </c>
      <c r="E7" t="s">
        <v>85</v>
      </c>
      <c r="F7">
        <f t="shared" si="0"/>
        <v>0</v>
      </c>
    </row>
    <row r="8" spans="1:6" x14ac:dyDescent="0.25">
      <c r="A8" t="s">
        <v>84</v>
      </c>
      <c r="B8">
        <v>7</v>
      </c>
      <c r="C8">
        <f>Prices!D8-8.5</f>
        <v>-8.5</v>
      </c>
      <c r="D8">
        <v>0</v>
      </c>
      <c r="E8" t="s">
        <v>85</v>
      </c>
      <c r="F8">
        <f t="shared" si="0"/>
        <v>0</v>
      </c>
    </row>
    <row r="9" spans="1:6" x14ac:dyDescent="0.25">
      <c r="A9" t="s">
        <v>84</v>
      </c>
      <c r="B9">
        <v>8</v>
      </c>
      <c r="C9">
        <f>Prices!D9-8.5</f>
        <v>-8.5</v>
      </c>
      <c r="D9">
        <v>0</v>
      </c>
      <c r="E9" t="s">
        <v>85</v>
      </c>
      <c r="F9">
        <f t="shared" si="0"/>
        <v>0</v>
      </c>
    </row>
    <row r="10" spans="1:6" x14ac:dyDescent="0.25">
      <c r="A10" t="s">
        <v>84</v>
      </c>
      <c r="B10">
        <v>9</v>
      </c>
      <c r="C10">
        <f>Prices!D10-8.5</f>
        <v>-8.5</v>
      </c>
      <c r="D10">
        <v>0</v>
      </c>
      <c r="E10" t="s">
        <v>85</v>
      </c>
      <c r="F10">
        <f t="shared" si="0"/>
        <v>0</v>
      </c>
    </row>
    <row r="11" spans="1:6" x14ac:dyDescent="0.25">
      <c r="A11" t="s">
        <v>84</v>
      </c>
      <c r="B11">
        <v>10</v>
      </c>
      <c r="C11">
        <f>Prices!D11-8.5</f>
        <v>-8.5</v>
      </c>
      <c r="D11">
        <v>0</v>
      </c>
      <c r="E11" t="s">
        <v>85</v>
      </c>
      <c r="F11">
        <f t="shared" si="0"/>
        <v>0</v>
      </c>
    </row>
    <row r="12" spans="1:6" x14ac:dyDescent="0.25">
      <c r="A12" t="s">
        <v>84</v>
      </c>
      <c r="B12">
        <v>11</v>
      </c>
      <c r="C12">
        <f>Prices!D12-8.5</f>
        <v>-8.5</v>
      </c>
      <c r="D12">
        <v>0</v>
      </c>
      <c r="E12" t="s">
        <v>85</v>
      </c>
      <c r="F12">
        <f t="shared" si="0"/>
        <v>0</v>
      </c>
    </row>
    <row r="13" spans="1:6" x14ac:dyDescent="0.25">
      <c r="A13" t="s">
        <v>84</v>
      </c>
      <c r="B13">
        <v>12</v>
      </c>
      <c r="C13">
        <f>Prices!D13-8.5</f>
        <v>-8.5</v>
      </c>
      <c r="D13">
        <v>0</v>
      </c>
      <c r="E13" t="s">
        <v>85</v>
      </c>
      <c r="F13">
        <f t="shared" si="0"/>
        <v>0</v>
      </c>
    </row>
    <row r="14" spans="1:6" x14ac:dyDescent="0.25">
      <c r="A14" t="s">
        <v>84</v>
      </c>
      <c r="B14">
        <v>13</v>
      </c>
      <c r="C14">
        <f>Prices!D14-8.5</f>
        <v>-8.5</v>
      </c>
      <c r="D14">
        <v>0</v>
      </c>
      <c r="E14" t="s">
        <v>85</v>
      </c>
      <c r="F14">
        <f t="shared" si="0"/>
        <v>0</v>
      </c>
    </row>
    <row r="15" spans="1:6" x14ac:dyDescent="0.25">
      <c r="A15" t="s">
        <v>84</v>
      </c>
      <c r="B15">
        <v>14</v>
      </c>
      <c r="C15">
        <f>Prices!D15-8.5</f>
        <v>-8.5</v>
      </c>
      <c r="D15">
        <v>0</v>
      </c>
      <c r="E15" t="s">
        <v>85</v>
      </c>
      <c r="F15">
        <f t="shared" si="0"/>
        <v>0</v>
      </c>
    </row>
    <row r="16" spans="1:6" x14ac:dyDescent="0.25">
      <c r="A16" t="s">
        <v>84</v>
      </c>
      <c r="B16">
        <v>15</v>
      </c>
      <c r="C16">
        <f>Prices!D16-8.5</f>
        <v>-8.5</v>
      </c>
      <c r="D16">
        <v>0</v>
      </c>
      <c r="E16" t="s">
        <v>85</v>
      </c>
      <c r="F16">
        <f t="shared" si="0"/>
        <v>0</v>
      </c>
    </row>
    <row r="17" spans="1:6" x14ac:dyDescent="0.25">
      <c r="A17" t="s">
        <v>84</v>
      </c>
      <c r="B17">
        <v>16</v>
      </c>
      <c r="C17">
        <f>Prices!D17-8.5</f>
        <v>-8.5</v>
      </c>
      <c r="D17">
        <v>0</v>
      </c>
      <c r="E17" t="s">
        <v>85</v>
      </c>
      <c r="F17">
        <f t="shared" si="0"/>
        <v>0</v>
      </c>
    </row>
    <row r="18" spans="1:6" x14ac:dyDescent="0.25">
      <c r="A18" t="s">
        <v>84</v>
      </c>
      <c r="B18">
        <v>17</v>
      </c>
      <c r="C18">
        <f>Prices!D18-8.5</f>
        <v>-8.5</v>
      </c>
      <c r="D18">
        <v>0</v>
      </c>
      <c r="E18" t="s">
        <v>85</v>
      </c>
      <c r="F18">
        <f t="shared" si="0"/>
        <v>0</v>
      </c>
    </row>
    <row r="19" spans="1:6" x14ac:dyDescent="0.25">
      <c r="A19" t="s">
        <v>84</v>
      </c>
      <c r="B19">
        <v>18</v>
      </c>
      <c r="C19">
        <f>Prices!D19-8.5</f>
        <v>-8.5</v>
      </c>
      <c r="D19">
        <v>0</v>
      </c>
      <c r="E19" t="s">
        <v>85</v>
      </c>
      <c r="F19">
        <f t="shared" si="0"/>
        <v>0</v>
      </c>
    </row>
    <row r="20" spans="1:6" x14ac:dyDescent="0.25">
      <c r="A20" t="s">
        <v>84</v>
      </c>
      <c r="B20">
        <v>19</v>
      </c>
      <c r="C20">
        <f>Prices!D20-8.5</f>
        <v>-8.5</v>
      </c>
      <c r="D20">
        <v>0</v>
      </c>
      <c r="E20" t="s">
        <v>85</v>
      </c>
      <c r="F20">
        <f t="shared" si="0"/>
        <v>0</v>
      </c>
    </row>
    <row r="21" spans="1:6" x14ac:dyDescent="0.25">
      <c r="A21" t="s">
        <v>84</v>
      </c>
      <c r="B21">
        <v>20</v>
      </c>
      <c r="C21">
        <f>Prices!D21-8.5</f>
        <v>-8.5</v>
      </c>
      <c r="D21">
        <v>0</v>
      </c>
      <c r="E21" t="s">
        <v>85</v>
      </c>
      <c r="F21">
        <f t="shared" si="0"/>
        <v>0</v>
      </c>
    </row>
    <row r="22" spans="1:6" x14ac:dyDescent="0.25">
      <c r="A22" t="s">
        <v>84</v>
      </c>
      <c r="B22">
        <v>21</v>
      </c>
      <c r="C22">
        <f>Prices!D22-8.5</f>
        <v>-8.5</v>
      </c>
      <c r="D22">
        <v>0</v>
      </c>
      <c r="E22" t="s">
        <v>85</v>
      </c>
      <c r="F22">
        <f t="shared" si="0"/>
        <v>0</v>
      </c>
    </row>
    <row r="23" spans="1:6" x14ac:dyDescent="0.25">
      <c r="A23" t="s">
        <v>84</v>
      </c>
      <c r="B23">
        <v>22</v>
      </c>
      <c r="C23">
        <f>Prices!D23-8.5</f>
        <v>-8.5</v>
      </c>
      <c r="D23">
        <v>0</v>
      </c>
      <c r="E23" t="s">
        <v>85</v>
      </c>
      <c r="F23">
        <f t="shared" si="0"/>
        <v>0</v>
      </c>
    </row>
    <row r="24" spans="1:6" x14ac:dyDescent="0.25">
      <c r="A24" t="s">
        <v>84</v>
      </c>
      <c r="B24">
        <v>23</v>
      </c>
      <c r="C24">
        <f>Prices!D24-8.5</f>
        <v>-8.5</v>
      </c>
      <c r="D24">
        <v>0</v>
      </c>
      <c r="E24" t="s">
        <v>85</v>
      </c>
      <c r="F24">
        <f t="shared" si="0"/>
        <v>0</v>
      </c>
    </row>
    <row r="25" spans="1:6" x14ac:dyDescent="0.25">
      <c r="A25" t="s">
        <v>84</v>
      </c>
      <c r="B25">
        <v>24</v>
      </c>
      <c r="C25">
        <f>Prices!D25-8.5</f>
        <v>-8.5</v>
      </c>
      <c r="D25">
        <v>0</v>
      </c>
      <c r="E25" t="s">
        <v>85</v>
      </c>
      <c r="F25">
        <f t="shared" si="0"/>
        <v>0</v>
      </c>
    </row>
    <row r="26" spans="1:6" x14ac:dyDescent="0.25">
      <c r="A26" t="s">
        <v>84</v>
      </c>
      <c r="B26">
        <v>25</v>
      </c>
      <c r="C26">
        <f>Prices!D26-8.5</f>
        <v>-8.5</v>
      </c>
      <c r="D26">
        <v>0</v>
      </c>
      <c r="E26" t="s">
        <v>85</v>
      </c>
      <c r="F26">
        <f t="shared" si="0"/>
        <v>0</v>
      </c>
    </row>
    <row r="27" spans="1:6" x14ac:dyDescent="0.25">
      <c r="A27" t="s">
        <v>84</v>
      </c>
      <c r="B27">
        <v>26</v>
      </c>
      <c r="C27">
        <f>Prices!D27-8.5</f>
        <v>-8.5</v>
      </c>
      <c r="D27">
        <v>0</v>
      </c>
      <c r="E27" t="s">
        <v>85</v>
      </c>
      <c r="F27">
        <f t="shared" si="0"/>
        <v>0</v>
      </c>
    </row>
    <row r="28" spans="1:6" x14ac:dyDescent="0.25">
      <c r="A28" t="s">
        <v>84</v>
      </c>
      <c r="B28">
        <v>27</v>
      </c>
      <c r="C28">
        <f>Prices!D28-8.5</f>
        <v>-8.5</v>
      </c>
      <c r="D28">
        <v>0</v>
      </c>
      <c r="E28" t="s">
        <v>85</v>
      </c>
      <c r="F28">
        <f t="shared" si="0"/>
        <v>0</v>
      </c>
    </row>
    <row r="29" spans="1:6" x14ac:dyDescent="0.25">
      <c r="A29" t="s">
        <v>84</v>
      </c>
      <c r="B29">
        <v>28</v>
      </c>
      <c r="C29">
        <f>Prices!D29-8.5</f>
        <v>-8.5</v>
      </c>
      <c r="D29">
        <v>0</v>
      </c>
      <c r="E29" t="s">
        <v>85</v>
      </c>
      <c r="F29">
        <f t="shared" si="0"/>
        <v>0</v>
      </c>
    </row>
    <row r="30" spans="1:6" x14ac:dyDescent="0.25">
      <c r="A30" t="s">
        <v>84</v>
      </c>
      <c r="B30">
        <v>29</v>
      </c>
      <c r="C30">
        <f>Prices!D30-8.5</f>
        <v>-8.5</v>
      </c>
      <c r="D30">
        <v>0</v>
      </c>
      <c r="E30" t="s">
        <v>85</v>
      </c>
      <c r="F30">
        <f t="shared" si="0"/>
        <v>0</v>
      </c>
    </row>
    <row r="31" spans="1:6" x14ac:dyDescent="0.25">
      <c r="A31" t="s">
        <v>84</v>
      </c>
      <c r="B31">
        <v>30</v>
      </c>
      <c r="C31">
        <f>Prices!D31-8.5</f>
        <v>-8.5</v>
      </c>
      <c r="D31">
        <v>0</v>
      </c>
      <c r="E31" t="s">
        <v>85</v>
      </c>
      <c r="F31">
        <f t="shared" si="0"/>
        <v>0</v>
      </c>
    </row>
    <row r="32" spans="1:6" x14ac:dyDescent="0.25">
      <c r="A32" t="s">
        <v>84</v>
      </c>
      <c r="B32">
        <v>31</v>
      </c>
      <c r="C32">
        <f>Prices!D32-8.5</f>
        <v>-8.5</v>
      </c>
      <c r="D32">
        <v>0</v>
      </c>
      <c r="E32" t="s">
        <v>85</v>
      </c>
      <c r="F32">
        <f t="shared" si="0"/>
        <v>0</v>
      </c>
    </row>
    <row r="33" spans="1:6" x14ac:dyDescent="0.25">
      <c r="A33" t="s">
        <v>84</v>
      </c>
      <c r="B33">
        <v>32</v>
      </c>
      <c r="C33">
        <f>Prices!D33-8.5</f>
        <v>-8.5</v>
      </c>
      <c r="D33">
        <v>0</v>
      </c>
      <c r="E33" t="s">
        <v>85</v>
      </c>
      <c r="F33">
        <f t="shared" si="0"/>
        <v>0</v>
      </c>
    </row>
    <row r="34" spans="1:6" x14ac:dyDescent="0.25">
      <c r="A34" t="s">
        <v>84</v>
      </c>
      <c r="B34">
        <v>33</v>
      </c>
      <c r="C34">
        <f>Prices!D34-8.5</f>
        <v>-8.5</v>
      </c>
      <c r="D34">
        <v>0</v>
      </c>
      <c r="E34" t="s">
        <v>85</v>
      </c>
      <c r="F34">
        <f t="shared" ref="F34:F65" si="1">C34*D34/4</f>
        <v>0</v>
      </c>
    </row>
    <row r="35" spans="1:6" x14ac:dyDescent="0.25">
      <c r="A35" t="s">
        <v>84</v>
      </c>
      <c r="B35">
        <v>34</v>
      </c>
      <c r="C35">
        <f>Prices!D35-8.5</f>
        <v>-8.5</v>
      </c>
      <c r="D35">
        <v>0</v>
      </c>
      <c r="E35" t="s">
        <v>85</v>
      </c>
      <c r="F35">
        <f t="shared" si="1"/>
        <v>0</v>
      </c>
    </row>
    <row r="36" spans="1:6" x14ac:dyDescent="0.25">
      <c r="A36" t="s">
        <v>84</v>
      </c>
      <c r="B36">
        <v>35</v>
      </c>
      <c r="C36">
        <f>Prices!D36-8.5</f>
        <v>-8.5</v>
      </c>
      <c r="D36">
        <v>0</v>
      </c>
      <c r="E36" t="s">
        <v>85</v>
      </c>
      <c r="F36">
        <f t="shared" si="1"/>
        <v>0</v>
      </c>
    </row>
    <row r="37" spans="1:6" x14ac:dyDescent="0.25">
      <c r="A37" t="s">
        <v>84</v>
      </c>
      <c r="B37">
        <v>36</v>
      </c>
      <c r="C37">
        <f>Prices!D37-8.5</f>
        <v>-8.5</v>
      </c>
      <c r="D37">
        <v>0</v>
      </c>
      <c r="E37" t="s">
        <v>85</v>
      </c>
      <c r="F37">
        <f t="shared" si="1"/>
        <v>0</v>
      </c>
    </row>
    <row r="38" spans="1:6" x14ac:dyDescent="0.25">
      <c r="A38" t="s">
        <v>84</v>
      </c>
      <c r="B38">
        <v>37</v>
      </c>
      <c r="C38">
        <f>Prices!D38-8.5</f>
        <v>-8.5</v>
      </c>
      <c r="D38">
        <v>0</v>
      </c>
      <c r="E38" t="s">
        <v>85</v>
      </c>
      <c r="F38">
        <f t="shared" si="1"/>
        <v>0</v>
      </c>
    </row>
    <row r="39" spans="1:6" x14ac:dyDescent="0.25">
      <c r="A39" t="s">
        <v>84</v>
      </c>
      <c r="B39">
        <v>38</v>
      </c>
      <c r="C39">
        <f>Prices!D39-8.5</f>
        <v>-8.5</v>
      </c>
      <c r="D39">
        <v>0</v>
      </c>
      <c r="E39" t="s">
        <v>85</v>
      </c>
      <c r="F39">
        <f t="shared" si="1"/>
        <v>0</v>
      </c>
    </row>
    <row r="40" spans="1:6" x14ac:dyDescent="0.25">
      <c r="A40" t="s">
        <v>84</v>
      </c>
      <c r="B40">
        <v>39</v>
      </c>
      <c r="C40">
        <f>Prices!D40-8.5</f>
        <v>-8.5</v>
      </c>
      <c r="D40">
        <v>0</v>
      </c>
      <c r="E40" t="s">
        <v>85</v>
      </c>
      <c r="F40">
        <f t="shared" si="1"/>
        <v>0</v>
      </c>
    </row>
    <row r="41" spans="1:6" x14ac:dyDescent="0.25">
      <c r="A41" t="s">
        <v>84</v>
      </c>
      <c r="B41">
        <v>40</v>
      </c>
      <c r="C41">
        <f>Prices!D41-8.5</f>
        <v>-8.5</v>
      </c>
      <c r="D41">
        <v>0</v>
      </c>
      <c r="E41" t="s">
        <v>85</v>
      </c>
      <c r="F41">
        <f t="shared" si="1"/>
        <v>0</v>
      </c>
    </row>
    <row r="42" spans="1:6" x14ac:dyDescent="0.25">
      <c r="A42" t="s">
        <v>84</v>
      </c>
      <c r="B42">
        <v>41</v>
      </c>
      <c r="C42">
        <f>Prices!D42-8.5</f>
        <v>-8.5</v>
      </c>
      <c r="D42">
        <v>0</v>
      </c>
      <c r="E42" t="s">
        <v>85</v>
      </c>
      <c r="F42">
        <f t="shared" si="1"/>
        <v>0</v>
      </c>
    </row>
    <row r="43" spans="1:6" x14ac:dyDescent="0.25">
      <c r="A43" t="s">
        <v>84</v>
      </c>
      <c r="B43">
        <v>42</v>
      </c>
      <c r="C43">
        <f>Prices!D43-8.5</f>
        <v>-8.5</v>
      </c>
      <c r="D43">
        <v>0</v>
      </c>
      <c r="E43" t="s">
        <v>85</v>
      </c>
      <c r="F43">
        <f t="shared" si="1"/>
        <v>0</v>
      </c>
    </row>
    <row r="44" spans="1:6" x14ac:dyDescent="0.25">
      <c r="A44" t="s">
        <v>84</v>
      </c>
      <c r="B44">
        <v>43</v>
      </c>
      <c r="C44">
        <f>Prices!D44-8.5</f>
        <v>-8.5</v>
      </c>
      <c r="D44">
        <v>0</v>
      </c>
      <c r="E44" t="s">
        <v>85</v>
      </c>
      <c r="F44">
        <f t="shared" si="1"/>
        <v>0</v>
      </c>
    </row>
    <row r="45" spans="1:6" x14ac:dyDescent="0.25">
      <c r="A45" t="s">
        <v>84</v>
      </c>
      <c r="B45">
        <v>44</v>
      </c>
      <c r="C45">
        <f>Prices!D45-8.5</f>
        <v>-8.5</v>
      </c>
      <c r="D45">
        <v>0</v>
      </c>
      <c r="E45" t="s">
        <v>85</v>
      </c>
      <c r="F45">
        <f t="shared" si="1"/>
        <v>0</v>
      </c>
    </row>
    <row r="46" spans="1:6" x14ac:dyDescent="0.25">
      <c r="A46" t="s">
        <v>84</v>
      </c>
      <c r="B46">
        <v>45</v>
      </c>
      <c r="C46">
        <f>Prices!D46-8.5</f>
        <v>-8.5</v>
      </c>
      <c r="D46">
        <v>0</v>
      </c>
      <c r="E46" t="s">
        <v>85</v>
      </c>
      <c r="F46">
        <f t="shared" si="1"/>
        <v>0</v>
      </c>
    </row>
    <row r="47" spans="1:6" x14ac:dyDescent="0.25">
      <c r="A47" t="s">
        <v>84</v>
      </c>
      <c r="B47">
        <v>46</v>
      </c>
      <c r="C47">
        <f>Prices!D47-8.5</f>
        <v>-8.5</v>
      </c>
      <c r="D47">
        <v>0</v>
      </c>
      <c r="E47" t="s">
        <v>85</v>
      </c>
      <c r="F47">
        <f t="shared" si="1"/>
        <v>0</v>
      </c>
    </row>
    <row r="48" spans="1:6" x14ac:dyDescent="0.25">
      <c r="A48" t="s">
        <v>84</v>
      </c>
      <c r="B48">
        <v>47</v>
      </c>
      <c r="C48">
        <f>Prices!D48-8.5</f>
        <v>-8.5</v>
      </c>
      <c r="D48">
        <v>0</v>
      </c>
      <c r="E48" t="s">
        <v>85</v>
      </c>
      <c r="F48">
        <f t="shared" si="1"/>
        <v>0</v>
      </c>
    </row>
    <row r="49" spans="1:6" x14ac:dyDescent="0.25">
      <c r="A49" t="s">
        <v>84</v>
      </c>
      <c r="B49">
        <v>48</v>
      </c>
      <c r="C49">
        <f>Prices!D49-8.5</f>
        <v>-8.5</v>
      </c>
      <c r="D49">
        <v>0</v>
      </c>
      <c r="E49" t="s">
        <v>85</v>
      </c>
      <c r="F49">
        <f t="shared" si="1"/>
        <v>0</v>
      </c>
    </row>
    <row r="50" spans="1:6" x14ac:dyDescent="0.25">
      <c r="A50" t="s">
        <v>84</v>
      </c>
      <c r="B50">
        <v>49</v>
      </c>
      <c r="C50">
        <f>Prices!D50-8.5</f>
        <v>-8.5</v>
      </c>
      <c r="D50">
        <v>0</v>
      </c>
      <c r="E50" t="s">
        <v>85</v>
      </c>
      <c r="F50">
        <f t="shared" si="1"/>
        <v>0</v>
      </c>
    </row>
    <row r="51" spans="1:6" x14ac:dyDescent="0.25">
      <c r="A51" t="s">
        <v>84</v>
      </c>
      <c r="B51">
        <v>50</v>
      </c>
      <c r="C51">
        <f>Prices!D51-8.5</f>
        <v>-8.5</v>
      </c>
      <c r="D51">
        <v>0</v>
      </c>
      <c r="E51" t="s">
        <v>85</v>
      </c>
      <c r="F51">
        <f t="shared" si="1"/>
        <v>0</v>
      </c>
    </row>
    <row r="52" spans="1:6" x14ac:dyDescent="0.25">
      <c r="A52" t="s">
        <v>84</v>
      </c>
      <c r="B52">
        <v>51</v>
      </c>
      <c r="C52">
        <f>Prices!D52-8.5</f>
        <v>-8.5</v>
      </c>
      <c r="D52">
        <v>0</v>
      </c>
      <c r="E52" t="s">
        <v>85</v>
      </c>
      <c r="F52">
        <f t="shared" si="1"/>
        <v>0</v>
      </c>
    </row>
    <row r="53" spans="1:6" x14ac:dyDescent="0.25">
      <c r="A53" t="s">
        <v>84</v>
      </c>
      <c r="B53">
        <v>52</v>
      </c>
      <c r="C53">
        <f>Prices!D53-8.5</f>
        <v>-8.5</v>
      </c>
      <c r="D53">
        <v>0</v>
      </c>
      <c r="E53" t="s">
        <v>85</v>
      </c>
      <c r="F53">
        <f t="shared" si="1"/>
        <v>0</v>
      </c>
    </row>
    <row r="54" spans="1:6" x14ac:dyDescent="0.25">
      <c r="A54" t="s">
        <v>84</v>
      </c>
      <c r="B54">
        <v>53</v>
      </c>
      <c r="C54">
        <f>Prices!D54-8.5</f>
        <v>-8.5</v>
      </c>
      <c r="D54">
        <v>0</v>
      </c>
      <c r="E54" t="s">
        <v>85</v>
      </c>
      <c r="F54">
        <f t="shared" si="1"/>
        <v>0</v>
      </c>
    </row>
    <row r="55" spans="1:6" x14ac:dyDescent="0.25">
      <c r="A55" t="s">
        <v>84</v>
      </c>
      <c r="B55">
        <v>54</v>
      </c>
      <c r="C55">
        <f>Prices!D55-8.5</f>
        <v>-8.5</v>
      </c>
      <c r="D55">
        <v>0</v>
      </c>
      <c r="E55" t="s">
        <v>85</v>
      </c>
      <c r="F55">
        <f t="shared" si="1"/>
        <v>0</v>
      </c>
    </row>
    <row r="56" spans="1:6" x14ac:dyDescent="0.25">
      <c r="A56" t="s">
        <v>84</v>
      </c>
      <c r="B56">
        <v>55</v>
      </c>
      <c r="C56">
        <f>Prices!D56-8.5</f>
        <v>-8.5</v>
      </c>
      <c r="D56">
        <v>0</v>
      </c>
      <c r="E56" t="s">
        <v>85</v>
      </c>
      <c r="F56">
        <f t="shared" si="1"/>
        <v>0</v>
      </c>
    </row>
    <row r="57" spans="1:6" x14ac:dyDescent="0.25">
      <c r="A57" t="s">
        <v>84</v>
      </c>
      <c r="B57">
        <v>56</v>
      </c>
      <c r="C57">
        <f>Prices!D57-8.5</f>
        <v>-8.5</v>
      </c>
      <c r="D57">
        <v>0</v>
      </c>
      <c r="E57" t="s">
        <v>85</v>
      </c>
      <c r="F57">
        <f t="shared" si="1"/>
        <v>0</v>
      </c>
    </row>
    <row r="58" spans="1:6" x14ac:dyDescent="0.25">
      <c r="A58" t="s">
        <v>84</v>
      </c>
      <c r="B58">
        <v>57</v>
      </c>
      <c r="C58">
        <f>Prices!D58-8.5</f>
        <v>-8.5</v>
      </c>
      <c r="D58">
        <v>0</v>
      </c>
      <c r="E58" t="s">
        <v>85</v>
      </c>
      <c r="F58">
        <f t="shared" si="1"/>
        <v>0</v>
      </c>
    </row>
    <row r="59" spans="1:6" x14ac:dyDescent="0.25">
      <c r="A59" t="s">
        <v>84</v>
      </c>
      <c r="B59">
        <v>58</v>
      </c>
      <c r="C59">
        <f>Prices!D59-8.5</f>
        <v>-8.5</v>
      </c>
      <c r="D59">
        <v>0</v>
      </c>
      <c r="E59" t="s">
        <v>85</v>
      </c>
      <c r="F59">
        <f t="shared" si="1"/>
        <v>0</v>
      </c>
    </row>
    <row r="60" spans="1:6" x14ac:dyDescent="0.25">
      <c r="A60" t="s">
        <v>84</v>
      </c>
      <c r="B60">
        <v>59</v>
      </c>
      <c r="C60">
        <f>Prices!D60-8.5</f>
        <v>-8.5</v>
      </c>
      <c r="D60">
        <v>0</v>
      </c>
      <c r="E60" t="s">
        <v>85</v>
      </c>
      <c r="F60">
        <f t="shared" si="1"/>
        <v>0</v>
      </c>
    </row>
    <row r="61" spans="1:6" x14ac:dyDescent="0.25">
      <c r="A61" t="s">
        <v>84</v>
      </c>
      <c r="B61">
        <v>60</v>
      </c>
      <c r="C61">
        <f>Prices!D61-8.5</f>
        <v>-8.5</v>
      </c>
      <c r="D61">
        <v>0</v>
      </c>
      <c r="E61" t="s">
        <v>85</v>
      </c>
      <c r="F61">
        <f t="shared" si="1"/>
        <v>0</v>
      </c>
    </row>
    <row r="62" spans="1:6" x14ac:dyDescent="0.25">
      <c r="A62" t="s">
        <v>84</v>
      </c>
      <c r="B62">
        <v>61</v>
      </c>
      <c r="C62">
        <f>Prices!D62-8.5</f>
        <v>-8.5</v>
      </c>
      <c r="D62">
        <v>0</v>
      </c>
      <c r="E62" t="s">
        <v>85</v>
      </c>
      <c r="F62">
        <f t="shared" si="1"/>
        <v>0</v>
      </c>
    </row>
    <row r="63" spans="1:6" x14ac:dyDescent="0.25">
      <c r="A63" t="s">
        <v>84</v>
      </c>
      <c r="B63">
        <v>62</v>
      </c>
      <c r="C63">
        <f>Prices!D63-8.5</f>
        <v>-8.5</v>
      </c>
      <c r="D63">
        <v>0</v>
      </c>
      <c r="E63" t="s">
        <v>85</v>
      </c>
      <c r="F63">
        <f t="shared" si="1"/>
        <v>0</v>
      </c>
    </row>
    <row r="64" spans="1:6" x14ac:dyDescent="0.25">
      <c r="A64" t="s">
        <v>84</v>
      </c>
      <c r="B64">
        <v>63</v>
      </c>
      <c r="C64">
        <f>Prices!D64-8.5</f>
        <v>-8.5</v>
      </c>
      <c r="D64">
        <v>0</v>
      </c>
      <c r="E64" t="s">
        <v>85</v>
      </c>
      <c r="F64">
        <f t="shared" si="1"/>
        <v>0</v>
      </c>
    </row>
    <row r="65" spans="1:6" x14ac:dyDescent="0.25">
      <c r="A65" t="s">
        <v>84</v>
      </c>
      <c r="B65">
        <v>64</v>
      </c>
      <c r="C65">
        <f>Prices!D65-8.5</f>
        <v>-8.5</v>
      </c>
      <c r="D65">
        <v>0</v>
      </c>
      <c r="E65" t="s">
        <v>85</v>
      </c>
      <c r="F65">
        <f t="shared" si="1"/>
        <v>0</v>
      </c>
    </row>
    <row r="66" spans="1:6" x14ac:dyDescent="0.25">
      <c r="A66" t="s">
        <v>84</v>
      </c>
      <c r="B66">
        <v>65</v>
      </c>
      <c r="C66">
        <f>Prices!D66-8.5</f>
        <v>-8.5</v>
      </c>
      <c r="D66">
        <v>0</v>
      </c>
      <c r="E66" t="s">
        <v>85</v>
      </c>
      <c r="F66">
        <f t="shared" ref="F66:F97" si="2">C66*D66/4</f>
        <v>0</v>
      </c>
    </row>
    <row r="67" spans="1:6" x14ac:dyDescent="0.25">
      <c r="A67" t="s">
        <v>84</v>
      </c>
      <c r="B67">
        <v>66</v>
      </c>
      <c r="C67">
        <f>Prices!D67-8.5</f>
        <v>-8.5</v>
      </c>
      <c r="D67">
        <v>0</v>
      </c>
      <c r="E67" t="s">
        <v>85</v>
      </c>
      <c r="F67">
        <f t="shared" si="2"/>
        <v>0</v>
      </c>
    </row>
    <row r="68" spans="1:6" x14ac:dyDescent="0.25">
      <c r="A68" t="s">
        <v>84</v>
      </c>
      <c r="B68">
        <v>67</v>
      </c>
      <c r="C68">
        <f>Prices!D68-8.5</f>
        <v>-8.5</v>
      </c>
      <c r="D68">
        <v>0</v>
      </c>
      <c r="E68" t="s">
        <v>85</v>
      </c>
      <c r="F68">
        <f t="shared" si="2"/>
        <v>0</v>
      </c>
    </row>
    <row r="69" spans="1:6" x14ac:dyDescent="0.25">
      <c r="A69" t="s">
        <v>84</v>
      </c>
      <c r="B69">
        <v>68</v>
      </c>
      <c r="C69">
        <f>Prices!D69-8.5</f>
        <v>-8.5</v>
      </c>
      <c r="D69">
        <v>0</v>
      </c>
      <c r="E69" t="s">
        <v>85</v>
      </c>
      <c r="F69">
        <f t="shared" si="2"/>
        <v>0</v>
      </c>
    </row>
    <row r="70" spans="1:6" x14ac:dyDescent="0.25">
      <c r="A70" t="s">
        <v>84</v>
      </c>
      <c r="B70">
        <v>69</v>
      </c>
      <c r="C70">
        <f>Prices!D70-8.5</f>
        <v>-8.5</v>
      </c>
      <c r="D70">
        <v>0</v>
      </c>
      <c r="E70" t="s">
        <v>85</v>
      </c>
      <c r="F70">
        <f t="shared" si="2"/>
        <v>0</v>
      </c>
    </row>
    <row r="71" spans="1:6" x14ac:dyDescent="0.25">
      <c r="A71" t="s">
        <v>84</v>
      </c>
      <c r="B71">
        <v>70</v>
      </c>
      <c r="C71">
        <f>Prices!D71-8.5</f>
        <v>-8.5</v>
      </c>
      <c r="D71">
        <v>0</v>
      </c>
      <c r="E71" t="s">
        <v>85</v>
      </c>
      <c r="F71">
        <f t="shared" si="2"/>
        <v>0</v>
      </c>
    </row>
    <row r="72" spans="1:6" x14ac:dyDescent="0.25">
      <c r="A72" t="s">
        <v>84</v>
      </c>
      <c r="B72">
        <v>71</v>
      </c>
      <c r="C72">
        <f>Prices!D72-8.5</f>
        <v>-8.5</v>
      </c>
      <c r="D72">
        <v>0</v>
      </c>
      <c r="E72" t="s">
        <v>85</v>
      </c>
      <c r="F72">
        <f t="shared" si="2"/>
        <v>0</v>
      </c>
    </row>
    <row r="73" spans="1:6" x14ac:dyDescent="0.25">
      <c r="A73" t="s">
        <v>84</v>
      </c>
      <c r="B73">
        <v>72</v>
      </c>
      <c r="C73">
        <f>Prices!D73-8.5</f>
        <v>-8.5</v>
      </c>
      <c r="D73">
        <v>0</v>
      </c>
      <c r="E73" t="s">
        <v>85</v>
      </c>
      <c r="F73">
        <f t="shared" si="2"/>
        <v>0</v>
      </c>
    </row>
    <row r="74" spans="1:6" x14ac:dyDescent="0.25">
      <c r="A74" t="s">
        <v>84</v>
      </c>
      <c r="B74">
        <v>73</v>
      </c>
      <c r="C74">
        <f>Prices!D74-8.5</f>
        <v>-8.5</v>
      </c>
      <c r="D74">
        <v>0</v>
      </c>
      <c r="E74" t="s">
        <v>85</v>
      </c>
      <c r="F74">
        <f t="shared" si="2"/>
        <v>0</v>
      </c>
    </row>
    <row r="75" spans="1:6" x14ac:dyDescent="0.25">
      <c r="A75" t="s">
        <v>84</v>
      </c>
      <c r="B75">
        <v>74</v>
      </c>
      <c r="C75">
        <f>Prices!D75-8.5</f>
        <v>-8.5</v>
      </c>
      <c r="D75">
        <v>0</v>
      </c>
      <c r="E75" t="s">
        <v>85</v>
      </c>
      <c r="F75">
        <f t="shared" si="2"/>
        <v>0</v>
      </c>
    </row>
    <row r="76" spans="1:6" x14ac:dyDescent="0.25">
      <c r="A76" t="s">
        <v>84</v>
      </c>
      <c r="B76">
        <v>75</v>
      </c>
      <c r="C76">
        <f>Prices!D76-8.5</f>
        <v>-8.5</v>
      </c>
      <c r="D76">
        <v>0</v>
      </c>
      <c r="E76" t="s">
        <v>85</v>
      </c>
      <c r="F76">
        <f t="shared" si="2"/>
        <v>0</v>
      </c>
    </row>
    <row r="77" spans="1:6" x14ac:dyDescent="0.25">
      <c r="A77" t="s">
        <v>84</v>
      </c>
      <c r="B77">
        <v>76</v>
      </c>
      <c r="C77">
        <f>Prices!D77-8.5</f>
        <v>-8.5</v>
      </c>
      <c r="D77">
        <v>0</v>
      </c>
      <c r="E77" t="s">
        <v>85</v>
      </c>
      <c r="F77">
        <f t="shared" si="2"/>
        <v>0</v>
      </c>
    </row>
    <row r="78" spans="1:6" x14ac:dyDescent="0.25">
      <c r="A78" t="s">
        <v>84</v>
      </c>
      <c r="B78">
        <v>77</v>
      </c>
      <c r="C78">
        <f>Prices!D78-8.5</f>
        <v>-8.5</v>
      </c>
      <c r="D78">
        <v>0</v>
      </c>
      <c r="E78" t="s">
        <v>85</v>
      </c>
      <c r="F78">
        <f t="shared" si="2"/>
        <v>0</v>
      </c>
    </row>
    <row r="79" spans="1:6" x14ac:dyDescent="0.25">
      <c r="A79" t="s">
        <v>84</v>
      </c>
      <c r="B79">
        <v>78</v>
      </c>
      <c r="C79">
        <f>Prices!D79-8.5</f>
        <v>-8.5</v>
      </c>
      <c r="D79">
        <v>0</v>
      </c>
      <c r="E79" t="s">
        <v>85</v>
      </c>
      <c r="F79">
        <f t="shared" si="2"/>
        <v>0</v>
      </c>
    </row>
    <row r="80" spans="1:6" x14ac:dyDescent="0.25">
      <c r="A80" t="s">
        <v>84</v>
      </c>
      <c r="B80">
        <v>79</v>
      </c>
      <c r="C80">
        <f>Prices!D80-8.5</f>
        <v>-8.5</v>
      </c>
      <c r="D80">
        <v>0</v>
      </c>
      <c r="E80" t="s">
        <v>85</v>
      </c>
      <c r="F80">
        <f t="shared" si="2"/>
        <v>0</v>
      </c>
    </row>
    <row r="81" spans="1:6" x14ac:dyDescent="0.25">
      <c r="A81" t="s">
        <v>84</v>
      </c>
      <c r="B81">
        <v>80</v>
      </c>
      <c r="C81">
        <f>Prices!D81-8.5</f>
        <v>-8.5</v>
      </c>
      <c r="D81">
        <v>0</v>
      </c>
      <c r="E81" t="s">
        <v>85</v>
      </c>
      <c r="F81">
        <f t="shared" si="2"/>
        <v>0</v>
      </c>
    </row>
    <row r="82" spans="1:6" x14ac:dyDescent="0.25">
      <c r="A82" t="s">
        <v>84</v>
      </c>
      <c r="B82">
        <v>81</v>
      </c>
      <c r="C82">
        <f>Prices!D82-8.5</f>
        <v>-8.5</v>
      </c>
      <c r="D82">
        <v>0</v>
      </c>
      <c r="E82" t="s">
        <v>85</v>
      </c>
      <c r="F82">
        <f t="shared" si="2"/>
        <v>0</v>
      </c>
    </row>
    <row r="83" spans="1:6" x14ac:dyDescent="0.25">
      <c r="A83" t="s">
        <v>84</v>
      </c>
      <c r="B83">
        <v>82</v>
      </c>
      <c r="C83">
        <f>Prices!D83-8.5</f>
        <v>-8.5</v>
      </c>
      <c r="D83">
        <v>0</v>
      </c>
      <c r="E83" t="s">
        <v>85</v>
      </c>
      <c r="F83">
        <f t="shared" si="2"/>
        <v>0</v>
      </c>
    </row>
    <row r="84" spans="1:6" x14ac:dyDescent="0.25">
      <c r="A84" t="s">
        <v>84</v>
      </c>
      <c r="B84">
        <v>83</v>
      </c>
      <c r="C84">
        <f>Prices!D84-8.5</f>
        <v>-8.5</v>
      </c>
      <c r="D84">
        <v>0</v>
      </c>
      <c r="E84" t="s">
        <v>85</v>
      </c>
      <c r="F84">
        <f t="shared" si="2"/>
        <v>0</v>
      </c>
    </row>
    <row r="85" spans="1:6" x14ac:dyDescent="0.25">
      <c r="A85" t="s">
        <v>84</v>
      </c>
      <c r="B85">
        <v>84</v>
      </c>
      <c r="C85">
        <f>Prices!D85-8.5</f>
        <v>-8.5</v>
      </c>
      <c r="D85">
        <v>0</v>
      </c>
      <c r="E85" t="s">
        <v>85</v>
      </c>
      <c r="F85">
        <f t="shared" si="2"/>
        <v>0</v>
      </c>
    </row>
    <row r="86" spans="1:6" x14ac:dyDescent="0.25">
      <c r="A86" t="s">
        <v>84</v>
      </c>
      <c r="B86">
        <v>85</v>
      </c>
      <c r="C86">
        <f>Prices!D86-8.5</f>
        <v>-8.5</v>
      </c>
      <c r="D86">
        <v>0</v>
      </c>
      <c r="E86" t="s">
        <v>85</v>
      </c>
      <c r="F86">
        <f t="shared" si="2"/>
        <v>0</v>
      </c>
    </row>
    <row r="87" spans="1:6" x14ac:dyDescent="0.25">
      <c r="A87" t="s">
        <v>84</v>
      </c>
      <c r="B87">
        <v>86</v>
      </c>
      <c r="C87">
        <f>Prices!D87-8.5</f>
        <v>-8.5</v>
      </c>
      <c r="D87">
        <v>0</v>
      </c>
      <c r="E87" t="s">
        <v>85</v>
      </c>
      <c r="F87">
        <f t="shared" si="2"/>
        <v>0</v>
      </c>
    </row>
    <row r="88" spans="1:6" x14ac:dyDescent="0.25">
      <c r="A88" t="s">
        <v>84</v>
      </c>
      <c r="B88">
        <v>87</v>
      </c>
      <c r="C88">
        <f>Prices!D88-8.5</f>
        <v>-8.5</v>
      </c>
      <c r="D88">
        <v>0</v>
      </c>
      <c r="E88" t="s">
        <v>85</v>
      </c>
      <c r="F88">
        <f t="shared" si="2"/>
        <v>0</v>
      </c>
    </row>
    <row r="89" spans="1:6" x14ac:dyDescent="0.25">
      <c r="A89" t="s">
        <v>84</v>
      </c>
      <c r="B89">
        <v>88</v>
      </c>
      <c r="C89">
        <f>Prices!D89-8.5</f>
        <v>-8.5</v>
      </c>
      <c r="D89">
        <v>0</v>
      </c>
      <c r="E89" t="s">
        <v>85</v>
      </c>
      <c r="F89">
        <f t="shared" si="2"/>
        <v>0</v>
      </c>
    </row>
    <row r="90" spans="1:6" x14ac:dyDescent="0.25">
      <c r="A90" t="s">
        <v>84</v>
      </c>
      <c r="B90">
        <v>89</v>
      </c>
      <c r="C90">
        <f>Prices!D90-8.5</f>
        <v>-8.5</v>
      </c>
      <c r="D90">
        <v>0</v>
      </c>
      <c r="E90" t="s">
        <v>85</v>
      </c>
      <c r="F90">
        <f t="shared" si="2"/>
        <v>0</v>
      </c>
    </row>
    <row r="91" spans="1:6" x14ac:dyDescent="0.25">
      <c r="A91" t="s">
        <v>84</v>
      </c>
      <c r="B91">
        <v>90</v>
      </c>
      <c r="C91">
        <f>Prices!D91-8.5</f>
        <v>-8.5</v>
      </c>
      <c r="D91">
        <v>0</v>
      </c>
      <c r="E91" t="s">
        <v>85</v>
      </c>
      <c r="F91">
        <f t="shared" si="2"/>
        <v>0</v>
      </c>
    </row>
    <row r="92" spans="1:6" x14ac:dyDescent="0.25">
      <c r="A92" t="s">
        <v>84</v>
      </c>
      <c r="B92">
        <v>91</v>
      </c>
      <c r="C92">
        <f>Prices!D92-8.5</f>
        <v>-8.5</v>
      </c>
      <c r="D92">
        <v>0</v>
      </c>
      <c r="E92" t="s">
        <v>85</v>
      </c>
      <c r="F92">
        <f t="shared" si="2"/>
        <v>0</v>
      </c>
    </row>
    <row r="93" spans="1:6" x14ac:dyDescent="0.25">
      <c r="A93" t="s">
        <v>84</v>
      </c>
      <c r="B93">
        <v>92</v>
      </c>
      <c r="C93">
        <f>Prices!D93-8.5</f>
        <v>-8.5</v>
      </c>
      <c r="D93">
        <v>0</v>
      </c>
      <c r="E93" t="s">
        <v>85</v>
      </c>
      <c r="F93">
        <f t="shared" si="2"/>
        <v>0</v>
      </c>
    </row>
    <row r="94" spans="1:6" x14ac:dyDescent="0.25">
      <c r="A94" t="s">
        <v>84</v>
      </c>
      <c r="B94">
        <v>93</v>
      </c>
      <c r="C94">
        <f>Prices!D94-8.5</f>
        <v>-8.5</v>
      </c>
      <c r="D94">
        <v>0</v>
      </c>
      <c r="E94" t="s">
        <v>85</v>
      </c>
      <c r="F94">
        <f t="shared" si="2"/>
        <v>0</v>
      </c>
    </row>
    <row r="95" spans="1:6" x14ac:dyDescent="0.25">
      <c r="A95" t="s">
        <v>84</v>
      </c>
      <c r="B95">
        <v>94</v>
      </c>
      <c r="C95">
        <f>Prices!D95-8.5</f>
        <v>-8.5</v>
      </c>
      <c r="D95">
        <v>0</v>
      </c>
      <c r="E95" t="s">
        <v>85</v>
      </c>
      <c r="F95">
        <f t="shared" si="2"/>
        <v>0</v>
      </c>
    </row>
    <row r="96" spans="1:6" x14ac:dyDescent="0.25">
      <c r="A96" t="s">
        <v>84</v>
      </c>
      <c r="B96">
        <v>95</v>
      </c>
      <c r="C96">
        <f>Prices!D96-8.5</f>
        <v>-8.5</v>
      </c>
      <c r="D96">
        <v>0</v>
      </c>
      <c r="E96" t="s">
        <v>85</v>
      </c>
      <c r="F96">
        <f t="shared" si="2"/>
        <v>0</v>
      </c>
    </row>
    <row r="97" spans="1:6" x14ac:dyDescent="0.25">
      <c r="A97" t="s">
        <v>84</v>
      </c>
      <c r="B97">
        <v>96</v>
      </c>
      <c r="C97">
        <f>Prices!D97-8.5</f>
        <v>-8.5</v>
      </c>
      <c r="D97">
        <v>0</v>
      </c>
      <c r="E97" t="s">
        <v>85</v>
      </c>
      <c r="F97">
        <f t="shared" si="2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1:F97"/>
  <sheetViews>
    <sheetView workbookViewId="0">
      <selection activeCell="K9" sqref="K9"/>
    </sheetView>
  </sheetViews>
  <sheetFormatPr defaultRowHeight="15" x14ac:dyDescent="0.25"/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Prices!D2-13</f>
        <v>-13</v>
      </c>
      <c r="D2">
        <v>0</v>
      </c>
      <c r="E2" t="s">
        <v>85</v>
      </c>
      <c r="F2">
        <f t="shared" ref="F2:F33" si="0">C2*D2/4</f>
        <v>0</v>
      </c>
    </row>
    <row r="3" spans="1:6" x14ac:dyDescent="0.25">
      <c r="A3" t="s">
        <v>84</v>
      </c>
      <c r="B3">
        <v>2</v>
      </c>
      <c r="C3">
        <f>Prices!D3-13</f>
        <v>-13</v>
      </c>
      <c r="D3">
        <v>0</v>
      </c>
      <c r="E3" t="s">
        <v>85</v>
      </c>
      <c r="F3">
        <f t="shared" si="0"/>
        <v>0</v>
      </c>
    </row>
    <row r="4" spans="1:6" x14ac:dyDescent="0.25">
      <c r="A4" t="s">
        <v>84</v>
      </c>
      <c r="B4">
        <v>3</v>
      </c>
      <c r="C4">
        <f>Prices!D4-13</f>
        <v>-13</v>
      </c>
      <c r="D4">
        <v>0</v>
      </c>
      <c r="E4" t="s">
        <v>85</v>
      </c>
      <c r="F4">
        <f t="shared" si="0"/>
        <v>0</v>
      </c>
    </row>
    <row r="5" spans="1:6" x14ac:dyDescent="0.25">
      <c r="A5" t="s">
        <v>84</v>
      </c>
      <c r="B5">
        <v>4</v>
      </c>
      <c r="C5">
        <f>Prices!D5-13</f>
        <v>-13</v>
      </c>
      <c r="D5">
        <v>0</v>
      </c>
      <c r="E5" t="s">
        <v>85</v>
      </c>
      <c r="F5">
        <f t="shared" si="0"/>
        <v>0</v>
      </c>
    </row>
    <row r="6" spans="1:6" x14ac:dyDescent="0.25">
      <c r="A6" t="s">
        <v>84</v>
      </c>
      <c r="B6">
        <v>5</v>
      </c>
      <c r="C6">
        <f>Prices!D6-13</f>
        <v>-13</v>
      </c>
      <c r="D6">
        <v>0</v>
      </c>
      <c r="E6" t="s">
        <v>85</v>
      </c>
      <c r="F6">
        <f t="shared" si="0"/>
        <v>0</v>
      </c>
    </row>
    <row r="7" spans="1:6" x14ac:dyDescent="0.25">
      <c r="A7" t="s">
        <v>84</v>
      </c>
      <c r="B7">
        <v>6</v>
      </c>
      <c r="C7">
        <f>Prices!D7-13</f>
        <v>-13</v>
      </c>
      <c r="D7">
        <v>0</v>
      </c>
      <c r="E7" t="s">
        <v>85</v>
      </c>
      <c r="F7">
        <f t="shared" si="0"/>
        <v>0</v>
      </c>
    </row>
    <row r="8" spans="1:6" x14ac:dyDescent="0.25">
      <c r="A8" t="s">
        <v>84</v>
      </c>
      <c r="B8">
        <v>7</v>
      </c>
      <c r="C8">
        <f>Prices!D8-13</f>
        <v>-13</v>
      </c>
      <c r="D8">
        <v>0</v>
      </c>
      <c r="E8" t="s">
        <v>85</v>
      </c>
      <c r="F8">
        <f t="shared" si="0"/>
        <v>0</v>
      </c>
    </row>
    <row r="9" spans="1:6" x14ac:dyDescent="0.25">
      <c r="A9" t="s">
        <v>84</v>
      </c>
      <c r="B9">
        <v>8</v>
      </c>
      <c r="C9">
        <f>Prices!D9-13</f>
        <v>-13</v>
      </c>
      <c r="D9">
        <v>0</v>
      </c>
      <c r="E9" t="s">
        <v>85</v>
      </c>
      <c r="F9">
        <f t="shared" si="0"/>
        <v>0</v>
      </c>
    </row>
    <row r="10" spans="1:6" x14ac:dyDescent="0.25">
      <c r="A10" t="s">
        <v>84</v>
      </c>
      <c r="B10">
        <v>9</v>
      </c>
      <c r="C10">
        <f>Prices!D10-13</f>
        <v>-13</v>
      </c>
      <c r="D10">
        <v>0</v>
      </c>
      <c r="E10" t="s">
        <v>85</v>
      </c>
      <c r="F10">
        <f t="shared" si="0"/>
        <v>0</v>
      </c>
    </row>
    <row r="11" spans="1:6" x14ac:dyDescent="0.25">
      <c r="A11" t="s">
        <v>84</v>
      </c>
      <c r="B11">
        <v>10</v>
      </c>
      <c r="C11">
        <f>Prices!D11-13</f>
        <v>-13</v>
      </c>
      <c r="D11">
        <v>0</v>
      </c>
      <c r="E11" t="s">
        <v>85</v>
      </c>
      <c r="F11">
        <f t="shared" si="0"/>
        <v>0</v>
      </c>
    </row>
    <row r="12" spans="1:6" x14ac:dyDescent="0.25">
      <c r="A12" t="s">
        <v>84</v>
      </c>
      <c r="B12">
        <v>11</v>
      </c>
      <c r="C12">
        <f>Prices!D12-13</f>
        <v>-13</v>
      </c>
      <c r="D12">
        <v>0</v>
      </c>
      <c r="E12" t="s">
        <v>85</v>
      </c>
      <c r="F12">
        <f t="shared" si="0"/>
        <v>0</v>
      </c>
    </row>
    <row r="13" spans="1:6" x14ac:dyDescent="0.25">
      <c r="A13" t="s">
        <v>84</v>
      </c>
      <c r="B13">
        <v>12</v>
      </c>
      <c r="C13">
        <f>Prices!D13-13</f>
        <v>-13</v>
      </c>
      <c r="D13">
        <v>0</v>
      </c>
      <c r="E13" t="s">
        <v>85</v>
      </c>
      <c r="F13">
        <f t="shared" si="0"/>
        <v>0</v>
      </c>
    </row>
    <row r="14" spans="1:6" x14ac:dyDescent="0.25">
      <c r="A14" t="s">
        <v>84</v>
      </c>
      <c r="B14">
        <v>13</v>
      </c>
      <c r="C14">
        <f>Prices!D14-13</f>
        <v>-13</v>
      </c>
      <c r="D14">
        <v>0</v>
      </c>
      <c r="E14" t="s">
        <v>85</v>
      </c>
      <c r="F14">
        <f t="shared" si="0"/>
        <v>0</v>
      </c>
    </row>
    <row r="15" spans="1:6" x14ac:dyDescent="0.25">
      <c r="A15" t="s">
        <v>84</v>
      </c>
      <c r="B15">
        <v>14</v>
      </c>
      <c r="C15">
        <f>Prices!D15-13</f>
        <v>-13</v>
      </c>
      <c r="D15">
        <v>0</v>
      </c>
      <c r="E15" t="s">
        <v>85</v>
      </c>
      <c r="F15">
        <f t="shared" si="0"/>
        <v>0</v>
      </c>
    </row>
    <row r="16" spans="1:6" x14ac:dyDescent="0.25">
      <c r="A16" t="s">
        <v>84</v>
      </c>
      <c r="B16">
        <v>15</v>
      </c>
      <c r="C16">
        <f>Prices!D16-13</f>
        <v>-13</v>
      </c>
      <c r="D16">
        <v>0</v>
      </c>
      <c r="E16" t="s">
        <v>85</v>
      </c>
      <c r="F16">
        <f t="shared" si="0"/>
        <v>0</v>
      </c>
    </row>
    <row r="17" spans="1:6" x14ac:dyDescent="0.25">
      <c r="A17" t="s">
        <v>84</v>
      </c>
      <c r="B17">
        <v>16</v>
      </c>
      <c r="C17">
        <f>Prices!D17-13</f>
        <v>-13</v>
      </c>
      <c r="D17">
        <v>0</v>
      </c>
      <c r="E17" t="s">
        <v>85</v>
      </c>
      <c r="F17">
        <f t="shared" si="0"/>
        <v>0</v>
      </c>
    </row>
    <row r="18" spans="1:6" x14ac:dyDescent="0.25">
      <c r="A18" t="s">
        <v>84</v>
      </c>
      <c r="B18">
        <v>17</v>
      </c>
      <c r="C18">
        <f>Prices!D18-13</f>
        <v>-13</v>
      </c>
      <c r="D18">
        <v>0</v>
      </c>
      <c r="E18" t="s">
        <v>85</v>
      </c>
      <c r="F18">
        <f t="shared" si="0"/>
        <v>0</v>
      </c>
    </row>
    <row r="19" spans="1:6" x14ac:dyDescent="0.25">
      <c r="A19" t="s">
        <v>84</v>
      </c>
      <c r="B19">
        <v>18</v>
      </c>
      <c r="C19">
        <f>Prices!D19-13</f>
        <v>-13</v>
      </c>
      <c r="D19">
        <v>0</v>
      </c>
      <c r="E19" t="s">
        <v>85</v>
      </c>
      <c r="F19">
        <f t="shared" si="0"/>
        <v>0</v>
      </c>
    </row>
    <row r="20" spans="1:6" x14ac:dyDescent="0.25">
      <c r="A20" t="s">
        <v>84</v>
      </c>
      <c r="B20">
        <v>19</v>
      </c>
      <c r="C20">
        <f>Prices!D20-13</f>
        <v>-13</v>
      </c>
      <c r="D20">
        <v>0</v>
      </c>
      <c r="E20" t="s">
        <v>85</v>
      </c>
      <c r="F20">
        <f t="shared" si="0"/>
        <v>0</v>
      </c>
    </row>
    <row r="21" spans="1:6" x14ac:dyDescent="0.25">
      <c r="A21" t="s">
        <v>84</v>
      </c>
      <c r="B21">
        <v>20</v>
      </c>
      <c r="C21">
        <f>Prices!D21-13</f>
        <v>-13</v>
      </c>
      <c r="D21">
        <v>0</v>
      </c>
      <c r="E21" t="s">
        <v>85</v>
      </c>
      <c r="F21">
        <f t="shared" si="0"/>
        <v>0</v>
      </c>
    </row>
    <row r="22" spans="1:6" x14ac:dyDescent="0.25">
      <c r="A22" t="s">
        <v>84</v>
      </c>
      <c r="B22">
        <v>21</v>
      </c>
      <c r="C22">
        <f>Prices!D22-13</f>
        <v>-13</v>
      </c>
      <c r="D22">
        <v>0</v>
      </c>
      <c r="E22" t="s">
        <v>85</v>
      </c>
      <c r="F22">
        <f t="shared" si="0"/>
        <v>0</v>
      </c>
    </row>
    <row r="23" spans="1:6" x14ac:dyDescent="0.25">
      <c r="A23" t="s">
        <v>84</v>
      </c>
      <c r="B23">
        <v>22</v>
      </c>
      <c r="C23">
        <f>Prices!D23-13</f>
        <v>-13</v>
      </c>
      <c r="D23">
        <v>0</v>
      </c>
      <c r="E23" t="s">
        <v>85</v>
      </c>
      <c r="F23">
        <f t="shared" si="0"/>
        <v>0</v>
      </c>
    </row>
    <row r="24" spans="1:6" x14ac:dyDescent="0.25">
      <c r="A24" t="s">
        <v>84</v>
      </c>
      <c r="B24">
        <v>23</v>
      </c>
      <c r="C24">
        <f>Prices!D24-13</f>
        <v>-13</v>
      </c>
      <c r="D24">
        <v>0</v>
      </c>
      <c r="E24" t="s">
        <v>85</v>
      </c>
      <c r="F24">
        <f t="shared" si="0"/>
        <v>0</v>
      </c>
    </row>
    <row r="25" spans="1:6" x14ac:dyDescent="0.25">
      <c r="A25" t="s">
        <v>84</v>
      </c>
      <c r="B25">
        <v>24</v>
      </c>
      <c r="C25">
        <f>Prices!D25-13</f>
        <v>-13</v>
      </c>
      <c r="D25">
        <v>0</v>
      </c>
      <c r="E25" t="s">
        <v>85</v>
      </c>
      <c r="F25">
        <f t="shared" si="0"/>
        <v>0</v>
      </c>
    </row>
    <row r="26" spans="1:6" x14ac:dyDescent="0.25">
      <c r="A26" t="s">
        <v>84</v>
      </c>
      <c r="B26">
        <v>25</v>
      </c>
      <c r="C26">
        <f>Prices!D26-13</f>
        <v>-13</v>
      </c>
      <c r="D26">
        <v>0</v>
      </c>
      <c r="E26" t="s">
        <v>85</v>
      </c>
      <c r="F26">
        <f t="shared" si="0"/>
        <v>0</v>
      </c>
    </row>
    <row r="27" spans="1:6" x14ac:dyDescent="0.25">
      <c r="A27" t="s">
        <v>84</v>
      </c>
      <c r="B27">
        <v>26</v>
      </c>
      <c r="C27">
        <f>Prices!D27-13</f>
        <v>-13</v>
      </c>
      <c r="D27">
        <v>0</v>
      </c>
      <c r="E27" t="s">
        <v>85</v>
      </c>
      <c r="F27">
        <f t="shared" si="0"/>
        <v>0</v>
      </c>
    </row>
    <row r="28" spans="1:6" x14ac:dyDescent="0.25">
      <c r="A28" t="s">
        <v>84</v>
      </c>
      <c r="B28">
        <v>27</v>
      </c>
      <c r="C28">
        <f>Prices!D28-13</f>
        <v>-13</v>
      </c>
      <c r="D28">
        <v>0</v>
      </c>
      <c r="E28" t="s">
        <v>85</v>
      </c>
      <c r="F28">
        <f t="shared" si="0"/>
        <v>0</v>
      </c>
    </row>
    <row r="29" spans="1:6" x14ac:dyDescent="0.25">
      <c r="A29" t="s">
        <v>84</v>
      </c>
      <c r="B29">
        <v>28</v>
      </c>
      <c r="C29">
        <f>Prices!D29-13</f>
        <v>-13</v>
      </c>
      <c r="D29">
        <v>0</v>
      </c>
      <c r="E29" t="s">
        <v>85</v>
      </c>
      <c r="F29">
        <f t="shared" si="0"/>
        <v>0</v>
      </c>
    </row>
    <row r="30" spans="1:6" x14ac:dyDescent="0.25">
      <c r="A30" t="s">
        <v>84</v>
      </c>
      <c r="B30">
        <v>29</v>
      </c>
      <c r="C30">
        <f>Prices!D30-13</f>
        <v>-13</v>
      </c>
      <c r="D30">
        <v>0</v>
      </c>
      <c r="E30" t="s">
        <v>85</v>
      </c>
      <c r="F30">
        <f t="shared" si="0"/>
        <v>0</v>
      </c>
    </row>
    <row r="31" spans="1:6" x14ac:dyDescent="0.25">
      <c r="A31" t="s">
        <v>84</v>
      </c>
      <c r="B31">
        <v>30</v>
      </c>
      <c r="C31">
        <f>Prices!D31-13</f>
        <v>-13</v>
      </c>
      <c r="D31">
        <v>0</v>
      </c>
      <c r="E31" t="s">
        <v>85</v>
      </c>
      <c r="F31">
        <f t="shared" si="0"/>
        <v>0</v>
      </c>
    </row>
    <row r="32" spans="1:6" x14ac:dyDescent="0.25">
      <c r="A32" t="s">
        <v>84</v>
      </c>
      <c r="B32">
        <v>31</v>
      </c>
      <c r="C32">
        <f>Prices!D32-13</f>
        <v>-13</v>
      </c>
      <c r="D32">
        <v>0</v>
      </c>
      <c r="E32" t="s">
        <v>85</v>
      </c>
      <c r="F32">
        <f t="shared" si="0"/>
        <v>0</v>
      </c>
    </row>
    <row r="33" spans="1:6" x14ac:dyDescent="0.25">
      <c r="A33" t="s">
        <v>84</v>
      </c>
      <c r="B33">
        <v>32</v>
      </c>
      <c r="C33">
        <f>Prices!D33-13</f>
        <v>-13</v>
      </c>
      <c r="D33">
        <v>0</v>
      </c>
      <c r="E33" t="s">
        <v>85</v>
      </c>
      <c r="F33">
        <f t="shared" si="0"/>
        <v>0</v>
      </c>
    </row>
    <row r="34" spans="1:6" x14ac:dyDescent="0.25">
      <c r="A34" t="s">
        <v>84</v>
      </c>
      <c r="B34">
        <v>33</v>
      </c>
      <c r="C34">
        <f>Prices!D34-13</f>
        <v>-13</v>
      </c>
      <c r="D34">
        <v>0</v>
      </c>
      <c r="E34" t="s">
        <v>85</v>
      </c>
      <c r="F34">
        <f t="shared" ref="F34:F65" si="1">C34*D34/4</f>
        <v>0</v>
      </c>
    </row>
    <row r="35" spans="1:6" x14ac:dyDescent="0.25">
      <c r="A35" t="s">
        <v>84</v>
      </c>
      <c r="B35">
        <v>34</v>
      </c>
      <c r="C35">
        <f>Prices!D35-13</f>
        <v>-13</v>
      </c>
      <c r="D35">
        <v>0</v>
      </c>
      <c r="E35" t="s">
        <v>85</v>
      </c>
      <c r="F35">
        <f t="shared" si="1"/>
        <v>0</v>
      </c>
    </row>
    <row r="36" spans="1:6" x14ac:dyDescent="0.25">
      <c r="A36" t="s">
        <v>84</v>
      </c>
      <c r="B36">
        <v>35</v>
      </c>
      <c r="C36">
        <f>Prices!D36-13</f>
        <v>-13</v>
      </c>
      <c r="D36">
        <v>0</v>
      </c>
      <c r="E36" t="s">
        <v>85</v>
      </c>
      <c r="F36">
        <f t="shared" si="1"/>
        <v>0</v>
      </c>
    </row>
    <row r="37" spans="1:6" x14ac:dyDescent="0.25">
      <c r="A37" t="s">
        <v>84</v>
      </c>
      <c r="B37">
        <v>36</v>
      </c>
      <c r="C37">
        <f>Prices!D37-13</f>
        <v>-13</v>
      </c>
      <c r="D37">
        <v>0</v>
      </c>
      <c r="E37" t="s">
        <v>85</v>
      </c>
      <c r="F37">
        <f t="shared" si="1"/>
        <v>0</v>
      </c>
    </row>
    <row r="38" spans="1:6" x14ac:dyDescent="0.25">
      <c r="A38" t="s">
        <v>84</v>
      </c>
      <c r="B38">
        <v>37</v>
      </c>
      <c r="C38">
        <f>Prices!D38-13</f>
        <v>-13</v>
      </c>
      <c r="D38">
        <v>0</v>
      </c>
      <c r="E38" t="s">
        <v>85</v>
      </c>
      <c r="F38">
        <f t="shared" si="1"/>
        <v>0</v>
      </c>
    </row>
    <row r="39" spans="1:6" x14ac:dyDescent="0.25">
      <c r="A39" t="s">
        <v>84</v>
      </c>
      <c r="B39">
        <v>38</v>
      </c>
      <c r="C39">
        <f>Prices!D39-13</f>
        <v>-13</v>
      </c>
      <c r="D39">
        <v>0</v>
      </c>
      <c r="E39" t="s">
        <v>85</v>
      </c>
      <c r="F39">
        <f t="shared" si="1"/>
        <v>0</v>
      </c>
    </row>
    <row r="40" spans="1:6" x14ac:dyDescent="0.25">
      <c r="A40" t="s">
        <v>84</v>
      </c>
      <c r="B40">
        <v>39</v>
      </c>
      <c r="C40">
        <f>Prices!D40-13</f>
        <v>-13</v>
      </c>
      <c r="D40">
        <v>0</v>
      </c>
      <c r="E40" t="s">
        <v>85</v>
      </c>
      <c r="F40">
        <f t="shared" si="1"/>
        <v>0</v>
      </c>
    </row>
    <row r="41" spans="1:6" x14ac:dyDescent="0.25">
      <c r="A41" t="s">
        <v>84</v>
      </c>
      <c r="B41">
        <v>40</v>
      </c>
      <c r="C41">
        <f>Prices!D41-13</f>
        <v>-13</v>
      </c>
      <c r="D41">
        <v>0</v>
      </c>
      <c r="E41" t="s">
        <v>85</v>
      </c>
      <c r="F41">
        <f t="shared" si="1"/>
        <v>0</v>
      </c>
    </row>
    <row r="42" spans="1:6" x14ac:dyDescent="0.25">
      <c r="A42" t="s">
        <v>84</v>
      </c>
      <c r="B42">
        <v>41</v>
      </c>
      <c r="C42">
        <f>Prices!D42-13</f>
        <v>-13</v>
      </c>
      <c r="D42">
        <v>0</v>
      </c>
      <c r="E42" t="s">
        <v>85</v>
      </c>
      <c r="F42">
        <f t="shared" si="1"/>
        <v>0</v>
      </c>
    </row>
    <row r="43" spans="1:6" x14ac:dyDescent="0.25">
      <c r="A43" t="s">
        <v>84</v>
      </c>
      <c r="B43">
        <v>42</v>
      </c>
      <c r="C43">
        <f>Prices!D43-13</f>
        <v>-13</v>
      </c>
      <c r="D43">
        <v>0</v>
      </c>
      <c r="E43" t="s">
        <v>85</v>
      </c>
      <c r="F43">
        <f t="shared" si="1"/>
        <v>0</v>
      </c>
    </row>
    <row r="44" spans="1:6" x14ac:dyDescent="0.25">
      <c r="A44" t="s">
        <v>84</v>
      </c>
      <c r="B44">
        <v>43</v>
      </c>
      <c r="C44">
        <f>Prices!D44-13</f>
        <v>-13</v>
      </c>
      <c r="D44">
        <v>0</v>
      </c>
      <c r="E44" t="s">
        <v>85</v>
      </c>
      <c r="F44">
        <f t="shared" si="1"/>
        <v>0</v>
      </c>
    </row>
    <row r="45" spans="1:6" x14ac:dyDescent="0.25">
      <c r="A45" t="s">
        <v>84</v>
      </c>
      <c r="B45">
        <v>44</v>
      </c>
      <c r="C45">
        <f>Prices!D45-13</f>
        <v>-13</v>
      </c>
      <c r="D45">
        <v>0</v>
      </c>
      <c r="E45" t="s">
        <v>85</v>
      </c>
      <c r="F45">
        <f t="shared" si="1"/>
        <v>0</v>
      </c>
    </row>
    <row r="46" spans="1:6" x14ac:dyDescent="0.25">
      <c r="A46" t="s">
        <v>84</v>
      </c>
      <c r="B46">
        <v>45</v>
      </c>
      <c r="C46">
        <f>Prices!D46-13</f>
        <v>-13</v>
      </c>
      <c r="D46">
        <v>0</v>
      </c>
      <c r="E46" t="s">
        <v>85</v>
      </c>
      <c r="F46">
        <f t="shared" si="1"/>
        <v>0</v>
      </c>
    </row>
    <row r="47" spans="1:6" x14ac:dyDescent="0.25">
      <c r="A47" t="s">
        <v>84</v>
      </c>
      <c r="B47">
        <v>46</v>
      </c>
      <c r="C47">
        <f>Prices!D47-13</f>
        <v>-13</v>
      </c>
      <c r="D47">
        <v>0</v>
      </c>
      <c r="E47" t="s">
        <v>85</v>
      </c>
      <c r="F47">
        <f t="shared" si="1"/>
        <v>0</v>
      </c>
    </row>
    <row r="48" spans="1:6" x14ac:dyDescent="0.25">
      <c r="A48" t="s">
        <v>84</v>
      </c>
      <c r="B48">
        <v>47</v>
      </c>
      <c r="C48">
        <f>Prices!D48-13</f>
        <v>-13</v>
      </c>
      <c r="D48">
        <v>0</v>
      </c>
      <c r="E48" t="s">
        <v>85</v>
      </c>
      <c r="F48">
        <f t="shared" si="1"/>
        <v>0</v>
      </c>
    </row>
    <row r="49" spans="1:6" x14ac:dyDescent="0.25">
      <c r="A49" t="s">
        <v>84</v>
      </c>
      <c r="B49">
        <v>48</v>
      </c>
      <c r="C49">
        <f>Prices!D49-13</f>
        <v>-13</v>
      </c>
      <c r="D49">
        <v>0</v>
      </c>
      <c r="E49" t="s">
        <v>85</v>
      </c>
      <c r="F49">
        <f t="shared" si="1"/>
        <v>0</v>
      </c>
    </row>
    <row r="50" spans="1:6" x14ac:dyDescent="0.25">
      <c r="A50" t="s">
        <v>84</v>
      </c>
      <c r="B50">
        <v>49</v>
      </c>
      <c r="C50">
        <f>Prices!D50-13</f>
        <v>-13</v>
      </c>
      <c r="D50">
        <v>0</v>
      </c>
      <c r="E50" t="s">
        <v>85</v>
      </c>
      <c r="F50">
        <f t="shared" si="1"/>
        <v>0</v>
      </c>
    </row>
    <row r="51" spans="1:6" x14ac:dyDescent="0.25">
      <c r="A51" t="s">
        <v>84</v>
      </c>
      <c r="B51">
        <v>50</v>
      </c>
      <c r="C51">
        <f>Prices!D51-13</f>
        <v>-13</v>
      </c>
      <c r="D51">
        <v>0</v>
      </c>
      <c r="E51" t="s">
        <v>85</v>
      </c>
      <c r="F51">
        <f t="shared" si="1"/>
        <v>0</v>
      </c>
    </row>
    <row r="52" spans="1:6" x14ac:dyDescent="0.25">
      <c r="A52" t="s">
        <v>84</v>
      </c>
      <c r="B52">
        <v>51</v>
      </c>
      <c r="C52">
        <f>Prices!D52-13</f>
        <v>-13</v>
      </c>
      <c r="D52">
        <v>0</v>
      </c>
      <c r="E52" t="s">
        <v>85</v>
      </c>
      <c r="F52">
        <f t="shared" si="1"/>
        <v>0</v>
      </c>
    </row>
    <row r="53" spans="1:6" x14ac:dyDescent="0.25">
      <c r="A53" t="s">
        <v>84</v>
      </c>
      <c r="B53">
        <v>52</v>
      </c>
      <c r="C53">
        <f>Prices!D53-13</f>
        <v>-13</v>
      </c>
      <c r="D53">
        <v>0</v>
      </c>
      <c r="E53" t="s">
        <v>85</v>
      </c>
      <c r="F53">
        <f t="shared" si="1"/>
        <v>0</v>
      </c>
    </row>
    <row r="54" spans="1:6" x14ac:dyDescent="0.25">
      <c r="A54" t="s">
        <v>84</v>
      </c>
      <c r="B54">
        <v>53</v>
      </c>
      <c r="C54">
        <f>Prices!D54-13</f>
        <v>-13</v>
      </c>
      <c r="D54">
        <v>0</v>
      </c>
      <c r="E54" t="s">
        <v>85</v>
      </c>
      <c r="F54">
        <f t="shared" si="1"/>
        <v>0</v>
      </c>
    </row>
    <row r="55" spans="1:6" x14ac:dyDescent="0.25">
      <c r="A55" t="s">
        <v>84</v>
      </c>
      <c r="B55">
        <v>54</v>
      </c>
      <c r="C55">
        <f>Prices!D55-13</f>
        <v>-13</v>
      </c>
      <c r="D55">
        <v>0</v>
      </c>
      <c r="E55" t="s">
        <v>85</v>
      </c>
      <c r="F55">
        <f t="shared" si="1"/>
        <v>0</v>
      </c>
    </row>
    <row r="56" spans="1:6" x14ac:dyDescent="0.25">
      <c r="A56" t="s">
        <v>84</v>
      </c>
      <c r="B56">
        <v>55</v>
      </c>
      <c r="C56">
        <f>Prices!D56-13</f>
        <v>-13</v>
      </c>
      <c r="D56">
        <v>0</v>
      </c>
      <c r="E56" t="s">
        <v>85</v>
      </c>
      <c r="F56">
        <f t="shared" si="1"/>
        <v>0</v>
      </c>
    </row>
    <row r="57" spans="1:6" x14ac:dyDescent="0.25">
      <c r="A57" t="s">
        <v>84</v>
      </c>
      <c r="B57">
        <v>56</v>
      </c>
      <c r="C57">
        <f>Prices!D57-13</f>
        <v>-13</v>
      </c>
      <c r="D57">
        <v>0</v>
      </c>
      <c r="E57" t="s">
        <v>85</v>
      </c>
      <c r="F57">
        <f t="shared" si="1"/>
        <v>0</v>
      </c>
    </row>
    <row r="58" spans="1:6" x14ac:dyDescent="0.25">
      <c r="A58" t="s">
        <v>84</v>
      </c>
      <c r="B58">
        <v>57</v>
      </c>
      <c r="C58">
        <f>Prices!D58-13</f>
        <v>-13</v>
      </c>
      <c r="D58">
        <v>0</v>
      </c>
      <c r="E58" t="s">
        <v>85</v>
      </c>
      <c r="F58">
        <f t="shared" si="1"/>
        <v>0</v>
      </c>
    </row>
    <row r="59" spans="1:6" x14ac:dyDescent="0.25">
      <c r="A59" t="s">
        <v>84</v>
      </c>
      <c r="B59">
        <v>58</v>
      </c>
      <c r="C59">
        <f>Prices!D59-13</f>
        <v>-13</v>
      </c>
      <c r="D59">
        <v>0</v>
      </c>
      <c r="E59" t="s">
        <v>85</v>
      </c>
      <c r="F59">
        <f t="shared" si="1"/>
        <v>0</v>
      </c>
    </row>
    <row r="60" spans="1:6" x14ac:dyDescent="0.25">
      <c r="A60" t="s">
        <v>84</v>
      </c>
      <c r="B60">
        <v>59</v>
      </c>
      <c r="C60">
        <f>Prices!D60-13</f>
        <v>-13</v>
      </c>
      <c r="D60">
        <v>0</v>
      </c>
      <c r="E60" t="s">
        <v>85</v>
      </c>
      <c r="F60">
        <f t="shared" si="1"/>
        <v>0</v>
      </c>
    </row>
    <row r="61" spans="1:6" x14ac:dyDescent="0.25">
      <c r="A61" t="s">
        <v>84</v>
      </c>
      <c r="B61">
        <v>60</v>
      </c>
      <c r="C61">
        <f>Prices!D61-13</f>
        <v>-13</v>
      </c>
      <c r="D61">
        <v>0</v>
      </c>
      <c r="E61" t="s">
        <v>85</v>
      </c>
      <c r="F61">
        <f t="shared" si="1"/>
        <v>0</v>
      </c>
    </row>
    <row r="62" spans="1:6" x14ac:dyDescent="0.25">
      <c r="A62" t="s">
        <v>84</v>
      </c>
      <c r="B62">
        <v>61</v>
      </c>
      <c r="C62">
        <f>Prices!D62-13</f>
        <v>-13</v>
      </c>
      <c r="D62">
        <v>0</v>
      </c>
      <c r="E62" t="s">
        <v>85</v>
      </c>
      <c r="F62">
        <f t="shared" si="1"/>
        <v>0</v>
      </c>
    </row>
    <row r="63" spans="1:6" x14ac:dyDescent="0.25">
      <c r="A63" t="s">
        <v>84</v>
      </c>
      <c r="B63">
        <v>62</v>
      </c>
      <c r="C63">
        <f>Prices!D63-13</f>
        <v>-13</v>
      </c>
      <c r="D63">
        <v>0</v>
      </c>
      <c r="E63" t="s">
        <v>85</v>
      </c>
      <c r="F63">
        <f t="shared" si="1"/>
        <v>0</v>
      </c>
    </row>
    <row r="64" spans="1:6" x14ac:dyDescent="0.25">
      <c r="A64" t="s">
        <v>84</v>
      </c>
      <c r="B64">
        <v>63</v>
      </c>
      <c r="C64">
        <f>Prices!D64-13</f>
        <v>-13</v>
      </c>
      <c r="D64">
        <v>0</v>
      </c>
      <c r="E64" t="s">
        <v>85</v>
      </c>
      <c r="F64">
        <f t="shared" si="1"/>
        <v>0</v>
      </c>
    </row>
    <row r="65" spans="1:6" x14ac:dyDescent="0.25">
      <c r="A65" t="s">
        <v>84</v>
      </c>
      <c r="B65">
        <v>64</v>
      </c>
      <c r="C65">
        <f>Prices!D65-13</f>
        <v>-13</v>
      </c>
      <c r="D65">
        <v>0</v>
      </c>
      <c r="E65" t="s">
        <v>85</v>
      </c>
      <c r="F65">
        <f t="shared" si="1"/>
        <v>0</v>
      </c>
    </row>
    <row r="66" spans="1:6" x14ac:dyDescent="0.25">
      <c r="A66" t="s">
        <v>84</v>
      </c>
      <c r="B66">
        <v>65</v>
      </c>
      <c r="C66">
        <f>Prices!D66-13</f>
        <v>-13</v>
      </c>
      <c r="D66">
        <v>0</v>
      </c>
      <c r="E66" t="s">
        <v>85</v>
      </c>
      <c r="F66">
        <f t="shared" ref="F66:F97" si="2">C66*D66/4</f>
        <v>0</v>
      </c>
    </row>
    <row r="67" spans="1:6" x14ac:dyDescent="0.25">
      <c r="A67" t="s">
        <v>84</v>
      </c>
      <c r="B67">
        <v>66</v>
      </c>
      <c r="C67">
        <f>Prices!D67-13</f>
        <v>-13</v>
      </c>
      <c r="D67">
        <v>0</v>
      </c>
      <c r="E67" t="s">
        <v>85</v>
      </c>
      <c r="F67">
        <f t="shared" si="2"/>
        <v>0</v>
      </c>
    </row>
    <row r="68" spans="1:6" x14ac:dyDescent="0.25">
      <c r="A68" t="s">
        <v>84</v>
      </c>
      <c r="B68">
        <v>67</v>
      </c>
      <c r="C68">
        <f>Prices!D68-13</f>
        <v>-13</v>
      </c>
      <c r="D68">
        <v>0</v>
      </c>
      <c r="E68" t="s">
        <v>85</v>
      </c>
      <c r="F68">
        <f t="shared" si="2"/>
        <v>0</v>
      </c>
    </row>
    <row r="69" spans="1:6" x14ac:dyDescent="0.25">
      <c r="A69" t="s">
        <v>84</v>
      </c>
      <c r="B69">
        <v>68</v>
      </c>
      <c r="C69">
        <f>Prices!D69-13</f>
        <v>-13</v>
      </c>
      <c r="D69">
        <v>0</v>
      </c>
      <c r="E69" t="s">
        <v>85</v>
      </c>
      <c r="F69">
        <f t="shared" si="2"/>
        <v>0</v>
      </c>
    </row>
    <row r="70" spans="1:6" x14ac:dyDescent="0.25">
      <c r="A70" t="s">
        <v>84</v>
      </c>
      <c r="B70">
        <v>69</v>
      </c>
      <c r="C70">
        <f>Prices!D70-13</f>
        <v>-13</v>
      </c>
      <c r="D70">
        <v>0</v>
      </c>
      <c r="E70" t="s">
        <v>85</v>
      </c>
      <c r="F70">
        <f t="shared" si="2"/>
        <v>0</v>
      </c>
    </row>
    <row r="71" spans="1:6" x14ac:dyDescent="0.25">
      <c r="A71" t="s">
        <v>84</v>
      </c>
      <c r="B71">
        <v>70</v>
      </c>
      <c r="C71">
        <f>Prices!D71-13</f>
        <v>-13</v>
      </c>
      <c r="D71">
        <v>0</v>
      </c>
      <c r="E71" t="s">
        <v>85</v>
      </c>
      <c r="F71">
        <f t="shared" si="2"/>
        <v>0</v>
      </c>
    </row>
    <row r="72" spans="1:6" x14ac:dyDescent="0.25">
      <c r="A72" t="s">
        <v>84</v>
      </c>
      <c r="B72">
        <v>71</v>
      </c>
      <c r="C72">
        <f>Prices!D72-13</f>
        <v>-13</v>
      </c>
      <c r="D72">
        <v>0</v>
      </c>
      <c r="E72" t="s">
        <v>85</v>
      </c>
      <c r="F72">
        <f t="shared" si="2"/>
        <v>0</v>
      </c>
    </row>
    <row r="73" spans="1:6" x14ac:dyDescent="0.25">
      <c r="A73" t="s">
        <v>84</v>
      </c>
      <c r="B73">
        <v>72</v>
      </c>
      <c r="C73">
        <f>Prices!D73-13</f>
        <v>-13</v>
      </c>
      <c r="D73">
        <v>0</v>
      </c>
      <c r="E73" t="s">
        <v>85</v>
      </c>
      <c r="F73">
        <f t="shared" si="2"/>
        <v>0</v>
      </c>
    </row>
    <row r="74" spans="1:6" x14ac:dyDescent="0.25">
      <c r="A74" t="s">
        <v>84</v>
      </c>
      <c r="B74">
        <v>73</v>
      </c>
      <c r="C74">
        <f>Prices!D74-13</f>
        <v>-13</v>
      </c>
      <c r="D74">
        <v>0</v>
      </c>
      <c r="E74" t="s">
        <v>85</v>
      </c>
      <c r="F74">
        <f t="shared" si="2"/>
        <v>0</v>
      </c>
    </row>
    <row r="75" spans="1:6" x14ac:dyDescent="0.25">
      <c r="A75" t="s">
        <v>84</v>
      </c>
      <c r="B75">
        <v>74</v>
      </c>
      <c r="C75">
        <f>Prices!D75-13</f>
        <v>-13</v>
      </c>
      <c r="D75">
        <v>0</v>
      </c>
      <c r="E75" t="s">
        <v>85</v>
      </c>
      <c r="F75">
        <f t="shared" si="2"/>
        <v>0</v>
      </c>
    </row>
    <row r="76" spans="1:6" x14ac:dyDescent="0.25">
      <c r="A76" t="s">
        <v>84</v>
      </c>
      <c r="B76">
        <v>75</v>
      </c>
      <c r="C76">
        <f>Prices!D76-13</f>
        <v>-13</v>
      </c>
      <c r="D76">
        <v>0</v>
      </c>
      <c r="E76" t="s">
        <v>85</v>
      </c>
      <c r="F76">
        <f t="shared" si="2"/>
        <v>0</v>
      </c>
    </row>
    <row r="77" spans="1:6" x14ac:dyDescent="0.25">
      <c r="A77" t="s">
        <v>84</v>
      </c>
      <c r="B77">
        <v>76</v>
      </c>
      <c r="C77">
        <f>Prices!D77-13</f>
        <v>-13</v>
      </c>
      <c r="D77">
        <v>0</v>
      </c>
      <c r="E77" t="s">
        <v>85</v>
      </c>
      <c r="F77">
        <f t="shared" si="2"/>
        <v>0</v>
      </c>
    </row>
    <row r="78" spans="1:6" x14ac:dyDescent="0.25">
      <c r="A78" t="s">
        <v>84</v>
      </c>
      <c r="B78">
        <v>77</v>
      </c>
      <c r="C78">
        <f>Prices!D78-13</f>
        <v>-13</v>
      </c>
      <c r="D78">
        <v>0</v>
      </c>
      <c r="E78" t="s">
        <v>85</v>
      </c>
      <c r="F78">
        <f t="shared" si="2"/>
        <v>0</v>
      </c>
    </row>
    <row r="79" spans="1:6" x14ac:dyDescent="0.25">
      <c r="A79" t="s">
        <v>84</v>
      </c>
      <c r="B79">
        <v>78</v>
      </c>
      <c r="C79">
        <f>Prices!D79-13</f>
        <v>-13</v>
      </c>
      <c r="D79">
        <v>0</v>
      </c>
      <c r="E79" t="s">
        <v>85</v>
      </c>
      <c r="F79">
        <f t="shared" si="2"/>
        <v>0</v>
      </c>
    </row>
    <row r="80" spans="1:6" x14ac:dyDescent="0.25">
      <c r="A80" t="s">
        <v>84</v>
      </c>
      <c r="B80">
        <v>79</v>
      </c>
      <c r="C80">
        <f>Prices!D80-13</f>
        <v>-13</v>
      </c>
      <c r="D80">
        <v>0</v>
      </c>
      <c r="E80" t="s">
        <v>85</v>
      </c>
      <c r="F80">
        <f t="shared" si="2"/>
        <v>0</v>
      </c>
    </row>
    <row r="81" spans="1:6" x14ac:dyDescent="0.25">
      <c r="A81" t="s">
        <v>84</v>
      </c>
      <c r="B81">
        <v>80</v>
      </c>
      <c r="C81">
        <f>Prices!D81-13</f>
        <v>-13</v>
      </c>
      <c r="D81">
        <v>0</v>
      </c>
      <c r="E81" t="s">
        <v>85</v>
      </c>
      <c r="F81">
        <f t="shared" si="2"/>
        <v>0</v>
      </c>
    </row>
    <row r="82" spans="1:6" x14ac:dyDescent="0.25">
      <c r="A82" t="s">
        <v>84</v>
      </c>
      <c r="B82">
        <v>81</v>
      </c>
      <c r="C82">
        <f>Prices!D82-13</f>
        <v>-13</v>
      </c>
      <c r="D82">
        <v>0</v>
      </c>
      <c r="E82" t="s">
        <v>85</v>
      </c>
      <c r="F82">
        <f t="shared" si="2"/>
        <v>0</v>
      </c>
    </row>
    <row r="83" spans="1:6" x14ac:dyDescent="0.25">
      <c r="A83" t="s">
        <v>84</v>
      </c>
      <c r="B83">
        <v>82</v>
      </c>
      <c r="C83">
        <f>Prices!D83-13</f>
        <v>-13</v>
      </c>
      <c r="D83">
        <v>0</v>
      </c>
      <c r="E83" t="s">
        <v>85</v>
      </c>
      <c r="F83">
        <f t="shared" si="2"/>
        <v>0</v>
      </c>
    </row>
    <row r="84" spans="1:6" x14ac:dyDescent="0.25">
      <c r="A84" t="s">
        <v>84</v>
      </c>
      <c r="B84">
        <v>83</v>
      </c>
      <c r="C84">
        <f>Prices!D84-13</f>
        <v>-13</v>
      </c>
      <c r="D84">
        <v>0</v>
      </c>
      <c r="E84" t="s">
        <v>85</v>
      </c>
      <c r="F84">
        <f t="shared" si="2"/>
        <v>0</v>
      </c>
    </row>
    <row r="85" spans="1:6" x14ac:dyDescent="0.25">
      <c r="A85" t="s">
        <v>84</v>
      </c>
      <c r="B85">
        <v>84</v>
      </c>
      <c r="C85">
        <f>Prices!D85-13</f>
        <v>-13</v>
      </c>
      <c r="D85">
        <v>0</v>
      </c>
      <c r="E85" t="s">
        <v>85</v>
      </c>
      <c r="F85">
        <f t="shared" si="2"/>
        <v>0</v>
      </c>
    </row>
    <row r="86" spans="1:6" x14ac:dyDescent="0.25">
      <c r="A86" t="s">
        <v>84</v>
      </c>
      <c r="B86">
        <v>85</v>
      </c>
      <c r="C86">
        <f>Prices!D86-13</f>
        <v>-13</v>
      </c>
      <c r="D86">
        <v>0</v>
      </c>
      <c r="E86" t="s">
        <v>85</v>
      </c>
      <c r="F86">
        <f t="shared" si="2"/>
        <v>0</v>
      </c>
    </row>
    <row r="87" spans="1:6" x14ac:dyDescent="0.25">
      <c r="A87" t="s">
        <v>84</v>
      </c>
      <c r="B87">
        <v>86</v>
      </c>
      <c r="C87">
        <f>Prices!D87-13</f>
        <v>-13</v>
      </c>
      <c r="D87">
        <v>0</v>
      </c>
      <c r="E87" t="s">
        <v>85</v>
      </c>
      <c r="F87">
        <f t="shared" si="2"/>
        <v>0</v>
      </c>
    </row>
    <row r="88" spans="1:6" x14ac:dyDescent="0.25">
      <c r="A88" t="s">
        <v>84</v>
      </c>
      <c r="B88">
        <v>87</v>
      </c>
      <c r="C88">
        <f>Prices!D88-13</f>
        <v>-13</v>
      </c>
      <c r="D88">
        <v>0</v>
      </c>
      <c r="E88" t="s">
        <v>85</v>
      </c>
      <c r="F88">
        <f t="shared" si="2"/>
        <v>0</v>
      </c>
    </row>
    <row r="89" spans="1:6" x14ac:dyDescent="0.25">
      <c r="A89" t="s">
        <v>84</v>
      </c>
      <c r="B89">
        <v>88</v>
      </c>
      <c r="C89">
        <f>Prices!D89-13</f>
        <v>-13</v>
      </c>
      <c r="D89">
        <v>0</v>
      </c>
      <c r="E89" t="s">
        <v>85</v>
      </c>
      <c r="F89">
        <f t="shared" si="2"/>
        <v>0</v>
      </c>
    </row>
    <row r="90" spans="1:6" x14ac:dyDescent="0.25">
      <c r="A90" t="s">
        <v>84</v>
      </c>
      <c r="B90">
        <v>89</v>
      </c>
      <c r="C90">
        <f>Prices!D90-13</f>
        <v>-13</v>
      </c>
      <c r="D90">
        <v>0</v>
      </c>
      <c r="E90" t="s">
        <v>85</v>
      </c>
      <c r="F90">
        <f t="shared" si="2"/>
        <v>0</v>
      </c>
    </row>
    <row r="91" spans="1:6" x14ac:dyDescent="0.25">
      <c r="A91" t="s">
        <v>84</v>
      </c>
      <c r="B91">
        <v>90</v>
      </c>
      <c r="C91">
        <f>Prices!D91-13</f>
        <v>-13</v>
      </c>
      <c r="D91">
        <v>0</v>
      </c>
      <c r="E91" t="s">
        <v>85</v>
      </c>
      <c r="F91">
        <f t="shared" si="2"/>
        <v>0</v>
      </c>
    </row>
    <row r="92" spans="1:6" x14ac:dyDescent="0.25">
      <c r="A92" t="s">
        <v>84</v>
      </c>
      <c r="B92">
        <v>91</v>
      </c>
      <c r="C92">
        <f>Prices!D92-13</f>
        <v>-13</v>
      </c>
      <c r="D92">
        <v>0</v>
      </c>
      <c r="E92" t="s">
        <v>85</v>
      </c>
      <c r="F92">
        <f t="shared" si="2"/>
        <v>0</v>
      </c>
    </row>
    <row r="93" spans="1:6" x14ac:dyDescent="0.25">
      <c r="A93" t="s">
        <v>84</v>
      </c>
      <c r="B93">
        <v>92</v>
      </c>
      <c r="C93">
        <f>Prices!D93-13</f>
        <v>-13</v>
      </c>
      <c r="D93">
        <v>0</v>
      </c>
      <c r="E93" t="s">
        <v>85</v>
      </c>
      <c r="F93">
        <f t="shared" si="2"/>
        <v>0</v>
      </c>
    </row>
    <row r="94" spans="1:6" x14ac:dyDescent="0.25">
      <c r="A94" t="s">
        <v>84</v>
      </c>
      <c r="B94">
        <v>93</v>
      </c>
      <c r="C94">
        <f>Prices!D94-13</f>
        <v>-13</v>
      </c>
      <c r="D94">
        <v>0</v>
      </c>
      <c r="E94" t="s">
        <v>85</v>
      </c>
      <c r="F94">
        <f t="shared" si="2"/>
        <v>0</v>
      </c>
    </row>
    <row r="95" spans="1:6" x14ac:dyDescent="0.25">
      <c r="A95" t="s">
        <v>84</v>
      </c>
      <c r="B95">
        <v>94</v>
      </c>
      <c r="C95">
        <f>Prices!D95-13</f>
        <v>-13</v>
      </c>
      <c r="D95">
        <v>0</v>
      </c>
      <c r="E95" t="s">
        <v>85</v>
      </c>
      <c r="F95">
        <f t="shared" si="2"/>
        <v>0</v>
      </c>
    </row>
    <row r="96" spans="1:6" x14ac:dyDescent="0.25">
      <c r="A96" t="s">
        <v>84</v>
      </c>
      <c r="B96">
        <v>95</v>
      </c>
      <c r="C96">
        <f>Prices!D96-13</f>
        <v>-13</v>
      </c>
      <c r="D96">
        <v>0</v>
      </c>
      <c r="E96" t="s">
        <v>85</v>
      </c>
      <c r="F96">
        <f t="shared" si="2"/>
        <v>0</v>
      </c>
    </row>
    <row r="97" spans="1:6" x14ac:dyDescent="0.25">
      <c r="A97" t="s">
        <v>84</v>
      </c>
      <c r="B97">
        <v>96</v>
      </c>
      <c r="C97">
        <f>Prices!D97-13</f>
        <v>-13</v>
      </c>
      <c r="D97">
        <v>0</v>
      </c>
      <c r="E97" t="s">
        <v>85</v>
      </c>
      <c r="F97">
        <f t="shared" si="2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F97"/>
  <sheetViews>
    <sheetView workbookViewId="0">
      <selection activeCell="K7" sqref="K7"/>
    </sheetView>
  </sheetViews>
  <sheetFormatPr defaultRowHeight="15" x14ac:dyDescent="0.25"/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Prices!D2-18</f>
        <v>-18</v>
      </c>
      <c r="D2">
        <v>5</v>
      </c>
      <c r="E2" t="s">
        <v>85</v>
      </c>
      <c r="F2">
        <f t="shared" ref="F2:F33" si="0">C2*D2/4</f>
        <v>-22.5</v>
      </c>
    </row>
    <row r="3" spans="1:6" x14ac:dyDescent="0.25">
      <c r="A3" t="s">
        <v>84</v>
      </c>
      <c r="B3">
        <v>2</v>
      </c>
      <c r="C3">
        <f>Prices!D3-18</f>
        <v>-18</v>
      </c>
      <c r="D3">
        <v>5</v>
      </c>
      <c r="E3" t="s">
        <v>85</v>
      </c>
      <c r="F3">
        <f t="shared" si="0"/>
        <v>-22.5</v>
      </c>
    </row>
    <row r="4" spans="1:6" x14ac:dyDescent="0.25">
      <c r="A4" t="s">
        <v>84</v>
      </c>
      <c r="B4">
        <v>3</v>
      </c>
      <c r="C4">
        <f>Prices!D4-18</f>
        <v>-18</v>
      </c>
      <c r="D4">
        <v>5</v>
      </c>
      <c r="E4" t="s">
        <v>85</v>
      </c>
      <c r="F4">
        <f t="shared" si="0"/>
        <v>-22.5</v>
      </c>
    </row>
    <row r="5" spans="1:6" x14ac:dyDescent="0.25">
      <c r="A5" t="s">
        <v>84</v>
      </c>
      <c r="B5">
        <v>4</v>
      </c>
      <c r="C5">
        <f>Prices!D5-18</f>
        <v>-18</v>
      </c>
      <c r="D5">
        <v>5</v>
      </c>
      <c r="E5" t="s">
        <v>85</v>
      </c>
      <c r="F5">
        <f t="shared" si="0"/>
        <v>-22.5</v>
      </c>
    </row>
    <row r="6" spans="1:6" x14ac:dyDescent="0.25">
      <c r="A6" t="s">
        <v>84</v>
      </c>
      <c r="B6">
        <v>5</v>
      </c>
      <c r="C6">
        <f>Prices!D6-18</f>
        <v>-18</v>
      </c>
      <c r="D6">
        <v>5</v>
      </c>
      <c r="E6" t="s">
        <v>85</v>
      </c>
      <c r="F6">
        <f t="shared" si="0"/>
        <v>-22.5</v>
      </c>
    </row>
    <row r="7" spans="1:6" x14ac:dyDescent="0.25">
      <c r="A7" t="s">
        <v>84</v>
      </c>
      <c r="B7">
        <v>6</v>
      </c>
      <c r="C7">
        <f>Prices!D7-18</f>
        <v>-18</v>
      </c>
      <c r="D7">
        <v>5</v>
      </c>
      <c r="E7" t="s">
        <v>85</v>
      </c>
      <c r="F7">
        <f t="shared" si="0"/>
        <v>-22.5</v>
      </c>
    </row>
    <row r="8" spans="1:6" x14ac:dyDescent="0.25">
      <c r="A8" t="s">
        <v>84</v>
      </c>
      <c r="B8">
        <v>7</v>
      </c>
      <c r="C8">
        <f>Prices!D8-18</f>
        <v>-18</v>
      </c>
      <c r="D8">
        <v>5</v>
      </c>
      <c r="E8" t="s">
        <v>85</v>
      </c>
      <c r="F8">
        <f t="shared" si="0"/>
        <v>-22.5</v>
      </c>
    </row>
    <row r="9" spans="1:6" x14ac:dyDescent="0.25">
      <c r="A9" t="s">
        <v>84</v>
      </c>
      <c r="B9">
        <v>8</v>
      </c>
      <c r="C9">
        <f>Prices!D9-18</f>
        <v>-18</v>
      </c>
      <c r="D9">
        <v>5</v>
      </c>
      <c r="E9" t="s">
        <v>85</v>
      </c>
      <c r="F9">
        <f t="shared" si="0"/>
        <v>-22.5</v>
      </c>
    </row>
    <row r="10" spans="1:6" x14ac:dyDescent="0.25">
      <c r="A10" t="s">
        <v>84</v>
      </c>
      <c r="B10">
        <v>9</v>
      </c>
      <c r="C10">
        <f>Prices!D10-18</f>
        <v>-18</v>
      </c>
      <c r="D10">
        <v>5</v>
      </c>
      <c r="E10" t="s">
        <v>85</v>
      </c>
      <c r="F10">
        <f t="shared" si="0"/>
        <v>-22.5</v>
      </c>
    </row>
    <row r="11" spans="1:6" x14ac:dyDescent="0.25">
      <c r="A11" t="s">
        <v>84</v>
      </c>
      <c r="B11">
        <v>10</v>
      </c>
      <c r="C11">
        <f>Prices!D11-18</f>
        <v>-18</v>
      </c>
      <c r="D11">
        <v>5</v>
      </c>
      <c r="E11" t="s">
        <v>85</v>
      </c>
      <c r="F11">
        <f t="shared" si="0"/>
        <v>-22.5</v>
      </c>
    </row>
    <row r="12" spans="1:6" x14ac:dyDescent="0.25">
      <c r="A12" t="s">
        <v>84</v>
      </c>
      <c r="B12">
        <v>11</v>
      </c>
      <c r="C12">
        <f>Prices!D12-18</f>
        <v>-18</v>
      </c>
      <c r="D12">
        <v>5</v>
      </c>
      <c r="E12" t="s">
        <v>85</v>
      </c>
      <c r="F12">
        <f t="shared" si="0"/>
        <v>-22.5</v>
      </c>
    </row>
    <row r="13" spans="1:6" x14ac:dyDescent="0.25">
      <c r="A13" t="s">
        <v>84</v>
      </c>
      <c r="B13">
        <v>12</v>
      </c>
      <c r="C13">
        <f>Prices!D13-18</f>
        <v>-18</v>
      </c>
      <c r="D13">
        <v>5</v>
      </c>
      <c r="E13" t="s">
        <v>85</v>
      </c>
      <c r="F13">
        <f t="shared" si="0"/>
        <v>-22.5</v>
      </c>
    </row>
    <row r="14" spans="1:6" x14ac:dyDescent="0.25">
      <c r="A14" t="s">
        <v>84</v>
      </c>
      <c r="B14">
        <v>13</v>
      </c>
      <c r="C14">
        <f>Prices!D14-18</f>
        <v>-18</v>
      </c>
      <c r="D14">
        <v>5</v>
      </c>
      <c r="E14" t="s">
        <v>85</v>
      </c>
      <c r="F14">
        <f t="shared" si="0"/>
        <v>-22.5</v>
      </c>
    </row>
    <row r="15" spans="1:6" x14ac:dyDescent="0.25">
      <c r="A15" t="s">
        <v>84</v>
      </c>
      <c r="B15">
        <v>14</v>
      </c>
      <c r="C15">
        <f>Prices!D15-18</f>
        <v>-18</v>
      </c>
      <c r="D15">
        <v>5</v>
      </c>
      <c r="E15" t="s">
        <v>85</v>
      </c>
      <c r="F15">
        <f t="shared" si="0"/>
        <v>-22.5</v>
      </c>
    </row>
    <row r="16" spans="1:6" x14ac:dyDescent="0.25">
      <c r="A16" t="s">
        <v>84</v>
      </c>
      <c r="B16">
        <v>15</v>
      </c>
      <c r="C16">
        <f>Prices!D16-18</f>
        <v>-18</v>
      </c>
      <c r="D16">
        <v>5</v>
      </c>
      <c r="E16" t="s">
        <v>85</v>
      </c>
      <c r="F16">
        <f t="shared" si="0"/>
        <v>-22.5</v>
      </c>
    </row>
    <row r="17" spans="1:6" x14ac:dyDescent="0.25">
      <c r="A17" t="s">
        <v>84</v>
      </c>
      <c r="B17">
        <v>16</v>
      </c>
      <c r="C17">
        <f>Prices!D17-18</f>
        <v>-18</v>
      </c>
      <c r="D17">
        <v>5</v>
      </c>
      <c r="E17" t="s">
        <v>85</v>
      </c>
      <c r="F17">
        <f t="shared" si="0"/>
        <v>-22.5</v>
      </c>
    </row>
    <row r="18" spans="1:6" x14ac:dyDescent="0.25">
      <c r="A18" t="s">
        <v>84</v>
      </c>
      <c r="B18">
        <v>17</v>
      </c>
      <c r="C18">
        <f>Prices!D18-18</f>
        <v>-18</v>
      </c>
      <c r="D18">
        <v>5</v>
      </c>
      <c r="E18" t="s">
        <v>85</v>
      </c>
      <c r="F18">
        <f t="shared" si="0"/>
        <v>-22.5</v>
      </c>
    </row>
    <row r="19" spans="1:6" x14ac:dyDescent="0.25">
      <c r="A19" t="s">
        <v>84</v>
      </c>
      <c r="B19">
        <v>18</v>
      </c>
      <c r="C19">
        <f>Prices!D19-18</f>
        <v>-18</v>
      </c>
      <c r="D19">
        <v>5</v>
      </c>
      <c r="E19" t="s">
        <v>85</v>
      </c>
      <c r="F19">
        <f t="shared" si="0"/>
        <v>-22.5</v>
      </c>
    </row>
    <row r="20" spans="1:6" x14ac:dyDescent="0.25">
      <c r="A20" t="s">
        <v>84</v>
      </c>
      <c r="B20">
        <v>19</v>
      </c>
      <c r="C20">
        <f>Prices!D20-18</f>
        <v>-18</v>
      </c>
      <c r="D20">
        <v>5</v>
      </c>
      <c r="E20" t="s">
        <v>85</v>
      </c>
      <c r="F20">
        <f t="shared" si="0"/>
        <v>-22.5</v>
      </c>
    </row>
    <row r="21" spans="1:6" x14ac:dyDescent="0.25">
      <c r="A21" t="s">
        <v>84</v>
      </c>
      <c r="B21">
        <v>20</v>
      </c>
      <c r="C21">
        <f>Prices!D21-18</f>
        <v>-18</v>
      </c>
      <c r="D21">
        <v>5</v>
      </c>
      <c r="E21" t="s">
        <v>85</v>
      </c>
      <c r="F21">
        <f t="shared" si="0"/>
        <v>-22.5</v>
      </c>
    </row>
    <row r="22" spans="1:6" x14ac:dyDescent="0.25">
      <c r="A22" t="s">
        <v>84</v>
      </c>
      <c r="B22">
        <v>21</v>
      </c>
      <c r="C22">
        <f>Prices!D22-18</f>
        <v>-18</v>
      </c>
      <c r="D22">
        <v>5</v>
      </c>
      <c r="E22" t="s">
        <v>85</v>
      </c>
      <c r="F22">
        <f t="shared" si="0"/>
        <v>-22.5</v>
      </c>
    </row>
    <row r="23" spans="1:6" x14ac:dyDescent="0.25">
      <c r="A23" t="s">
        <v>84</v>
      </c>
      <c r="B23">
        <v>22</v>
      </c>
      <c r="C23">
        <f>Prices!D23-18</f>
        <v>-18</v>
      </c>
      <c r="D23">
        <v>5</v>
      </c>
      <c r="E23" t="s">
        <v>85</v>
      </c>
      <c r="F23">
        <f t="shared" si="0"/>
        <v>-22.5</v>
      </c>
    </row>
    <row r="24" spans="1:6" x14ac:dyDescent="0.25">
      <c r="A24" t="s">
        <v>84</v>
      </c>
      <c r="B24">
        <v>23</v>
      </c>
      <c r="C24">
        <f>Prices!D24-18</f>
        <v>-18</v>
      </c>
      <c r="D24">
        <v>5</v>
      </c>
      <c r="E24" t="s">
        <v>85</v>
      </c>
      <c r="F24">
        <f t="shared" si="0"/>
        <v>-22.5</v>
      </c>
    </row>
    <row r="25" spans="1:6" x14ac:dyDescent="0.25">
      <c r="A25" t="s">
        <v>84</v>
      </c>
      <c r="B25">
        <v>24</v>
      </c>
      <c r="C25">
        <f>Prices!D25-18</f>
        <v>-18</v>
      </c>
      <c r="D25">
        <v>5</v>
      </c>
      <c r="E25" t="s">
        <v>85</v>
      </c>
      <c r="F25">
        <f t="shared" si="0"/>
        <v>-22.5</v>
      </c>
    </row>
    <row r="26" spans="1:6" x14ac:dyDescent="0.25">
      <c r="A26" t="s">
        <v>84</v>
      </c>
      <c r="B26">
        <v>25</v>
      </c>
      <c r="C26">
        <f>Prices!D26-18</f>
        <v>-18</v>
      </c>
      <c r="D26">
        <v>5</v>
      </c>
      <c r="E26" t="s">
        <v>85</v>
      </c>
      <c r="F26">
        <f t="shared" si="0"/>
        <v>-22.5</v>
      </c>
    </row>
    <row r="27" spans="1:6" x14ac:dyDescent="0.25">
      <c r="A27" t="s">
        <v>84</v>
      </c>
      <c r="B27">
        <v>26</v>
      </c>
      <c r="C27">
        <f>Prices!D27-18</f>
        <v>-18</v>
      </c>
      <c r="D27">
        <v>5</v>
      </c>
      <c r="E27" t="s">
        <v>85</v>
      </c>
      <c r="F27">
        <f t="shared" si="0"/>
        <v>-22.5</v>
      </c>
    </row>
    <row r="28" spans="1:6" x14ac:dyDescent="0.25">
      <c r="A28" t="s">
        <v>84</v>
      </c>
      <c r="B28">
        <v>27</v>
      </c>
      <c r="C28">
        <f>Prices!D28-18</f>
        <v>-18</v>
      </c>
      <c r="D28">
        <v>5</v>
      </c>
      <c r="E28" t="s">
        <v>85</v>
      </c>
      <c r="F28">
        <f t="shared" si="0"/>
        <v>-22.5</v>
      </c>
    </row>
    <row r="29" spans="1:6" x14ac:dyDescent="0.25">
      <c r="A29" t="s">
        <v>84</v>
      </c>
      <c r="B29">
        <v>28</v>
      </c>
      <c r="C29">
        <f>Prices!D29-18</f>
        <v>-18</v>
      </c>
      <c r="D29">
        <v>5</v>
      </c>
      <c r="E29" t="s">
        <v>85</v>
      </c>
      <c r="F29">
        <f t="shared" si="0"/>
        <v>-22.5</v>
      </c>
    </row>
    <row r="30" spans="1:6" x14ac:dyDescent="0.25">
      <c r="A30" t="s">
        <v>84</v>
      </c>
      <c r="B30">
        <v>29</v>
      </c>
      <c r="C30">
        <f>Prices!D30-18</f>
        <v>-18</v>
      </c>
      <c r="D30">
        <v>5</v>
      </c>
      <c r="E30" t="s">
        <v>85</v>
      </c>
      <c r="F30">
        <f t="shared" si="0"/>
        <v>-22.5</v>
      </c>
    </row>
    <row r="31" spans="1:6" x14ac:dyDescent="0.25">
      <c r="A31" t="s">
        <v>84</v>
      </c>
      <c r="B31">
        <v>30</v>
      </c>
      <c r="C31">
        <f>Prices!D31-18</f>
        <v>-18</v>
      </c>
      <c r="D31">
        <v>5</v>
      </c>
      <c r="E31" t="s">
        <v>85</v>
      </c>
      <c r="F31">
        <f t="shared" si="0"/>
        <v>-22.5</v>
      </c>
    </row>
    <row r="32" spans="1:6" x14ac:dyDescent="0.25">
      <c r="A32" t="s">
        <v>84</v>
      </c>
      <c r="B32">
        <v>31</v>
      </c>
      <c r="C32">
        <f>Prices!D32-18</f>
        <v>-18</v>
      </c>
      <c r="D32">
        <v>5</v>
      </c>
      <c r="E32" t="s">
        <v>85</v>
      </c>
      <c r="F32">
        <f t="shared" si="0"/>
        <v>-22.5</v>
      </c>
    </row>
    <row r="33" spans="1:6" x14ac:dyDescent="0.25">
      <c r="A33" t="s">
        <v>84</v>
      </c>
      <c r="B33">
        <v>32</v>
      </c>
      <c r="C33">
        <f>Prices!D33-18</f>
        <v>-18</v>
      </c>
      <c r="D33">
        <v>5</v>
      </c>
      <c r="E33" t="s">
        <v>85</v>
      </c>
      <c r="F33">
        <f t="shared" si="0"/>
        <v>-22.5</v>
      </c>
    </row>
    <row r="34" spans="1:6" x14ac:dyDescent="0.25">
      <c r="A34" t="s">
        <v>84</v>
      </c>
      <c r="B34">
        <v>33</v>
      </c>
      <c r="C34">
        <f>Prices!D34-18</f>
        <v>-18</v>
      </c>
      <c r="D34">
        <v>5</v>
      </c>
      <c r="E34" t="s">
        <v>85</v>
      </c>
      <c r="F34">
        <f t="shared" ref="F34:F65" si="1">C34*D34/4</f>
        <v>-22.5</v>
      </c>
    </row>
    <row r="35" spans="1:6" x14ac:dyDescent="0.25">
      <c r="A35" t="s">
        <v>84</v>
      </c>
      <c r="B35">
        <v>34</v>
      </c>
      <c r="C35">
        <f>Prices!D35-18</f>
        <v>-18</v>
      </c>
      <c r="D35">
        <v>5</v>
      </c>
      <c r="E35" t="s">
        <v>85</v>
      </c>
      <c r="F35">
        <f t="shared" si="1"/>
        <v>-22.5</v>
      </c>
    </row>
    <row r="36" spans="1:6" x14ac:dyDescent="0.25">
      <c r="A36" t="s">
        <v>84</v>
      </c>
      <c r="B36">
        <v>35</v>
      </c>
      <c r="C36">
        <f>Prices!D36-18</f>
        <v>-18</v>
      </c>
      <c r="D36">
        <v>5</v>
      </c>
      <c r="E36" t="s">
        <v>85</v>
      </c>
      <c r="F36">
        <f t="shared" si="1"/>
        <v>-22.5</v>
      </c>
    </row>
    <row r="37" spans="1:6" x14ac:dyDescent="0.25">
      <c r="A37" t="s">
        <v>84</v>
      </c>
      <c r="B37">
        <v>36</v>
      </c>
      <c r="C37">
        <f>Prices!D37-18</f>
        <v>-18</v>
      </c>
      <c r="D37">
        <v>5</v>
      </c>
      <c r="E37" t="s">
        <v>85</v>
      </c>
      <c r="F37">
        <f t="shared" si="1"/>
        <v>-22.5</v>
      </c>
    </row>
    <row r="38" spans="1:6" x14ac:dyDescent="0.25">
      <c r="A38" t="s">
        <v>84</v>
      </c>
      <c r="B38">
        <v>37</v>
      </c>
      <c r="C38">
        <f>Prices!D38-18</f>
        <v>-18</v>
      </c>
      <c r="D38">
        <v>5</v>
      </c>
      <c r="E38" t="s">
        <v>85</v>
      </c>
      <c r="F38">
        <f t="shared" si="1"/>
        <v>-22.5</v>
      </c>
    </row>
    <row r="39" spans="1:6" x14ac:dyDescent="0.25">
      <c r="A39" t="s">
        <v>84</v>
      </c>
      <c r="B39">
        <v>38</v>
      </c>
      <c r="C39">
        <f>Prices!D39-18</f>
        <v>-18</v>
      </c>
      <c r="D39">
        <v>5</v>
      </c>
      <c r="E39" t="s">
        <v>85</v>
      </c>
      <c r="F39">
        <f t="shared" si="1"/>
        <v>-22.5</v>
      </c>
    </row>
    <row r="40" spans="1:6" x14ac:dyDescent="0.25">
      <c r="A40" t="s">
        <v>84</v>
      </c>
      <c r="B40">
        <v>39</v>
      </c>
      <c r="C40">
        <f>Prices!D40-18</f>
        <v>-18</v>
      </c>
      <c r="D40">
        <v>5</v>
      </c>
      <c r="E40" t="s">
        <v>85</v>
      </c>
      <c r="F40">
        <f t="shared" si="1"/>
        <v>-22.5</v>
      </c>
    </row>
    <row r="41" spans="1:6" x14ac:dyDescent="0.25">
      <c r="A41" t="s">
        <v>84</v>
      </c>
      <c r="B41">
        <v>40</v>
      </c>
      <c r="C41">
        <f>Prices!D41-18</f>
        <v>-18</v>
      </c>
      <c r="D41">
        <v>5</v>
      </c>
      <c r="E41" t="s">
        <v>85</v>
      </c>
      <c r="F41">
        <f t="shared" si="1"/>
        <v>-22.5</v>
      </c>
    </row>
    <row r="42" spans="1:6" x14ac:dyDescent="0.25">
      <c r="A42" t="s">
        <v>84</v>
      </c>
      <c r="B42">
        <v>41</v>
      </c>
      <c r="C42">
        <f>Prices!D42-18</f>
        <v>-18</v>
      </c>
      <c r="D42">
        <v>5</v>
      </c>
      <c r="E42" t="s">
        <v>85</v>
      </c>
      <c r="F42">
        <f t="shared" si="1"/>
        <v>-22.5</v>
      </c>
    </row>
    <row r="43" spans="1:6" x14ac:dyDescent="0.25">
      <c r="A43" t="s">
        <v>84</v>
      </c>
      <c r="B43">
        <v>42</v>
      </c>
      <c r="C43">
        <f>Prices!D43-18</f>
        <v>-18</v>
      </c>
      <c r="D43">
        <v>5</v>
      </c>
      <c r="E43" t="s">
        <v>85</v>
      </c>
      <c r="F43">
        <f t="shared" si="1"/>
        <v>-22.5</v>
      </c>
    </row>
    <row r="44" spans="1:6" x14ac:dyDescent="0.25">
      <c r="A44" t="s">
        <v>84</v>
      </c>
      <c r="B44">
        <v>43</v>
      </c>
      <c r="C44">
        <f>Prices!D44-18</f>
        <v>-18</v>
      </c>
      <c r="D44">
        <v>5</v>
      </c>
      <c r="E44" t="s">
        <v>85</v>
      </c>
      <c r="F44">
        <f t="shared" si="1"/>
        <v>-22.5</v>
      </c>
    </row>
    <row r="45" spans="1:6" x14ac:dyDescent="0.25">
      <c r="A45" t="s">
        <v>84</v>
      </c>
      <c r="B45">
        <v>44</v>
      </c>
      <c r="C45">
        <f>Prices!D45-18</f>
        <v>-18</v>
      </c>
      <c r="D45">
        <v>5</v>
      </c>
      <c r="E45" t="s">
        <v>85</v>
      </c>
      <c r="F45">
        <f t="shared" si="1"/>
        <v>-22.5</v>
      </c>
    </row>
    <row r="46" spans="1:6" x14ac:dyDescent="0.25">
      <c r="A46" t="s">
        <v>84</v>
      </c>
      <c r="B46">
        <v>45</v>
      </c>
      <c r="C46">
        <f>Prices!D46-18</f>
        <v>-18</v>
      </c>
      <c r="D46">
        <v>5</v>
      </c>
      <c r="E46" t="s">
        <v>85</v>
      </c>
      <c r="F46">
        <f t="shared" si="1"/>
        <v>-22.5</v>
      </c>
    </row>
    <row r="47" spans="1:6" x14ac:dyDescent="0.25">
      <c r="A47" t="s">
        <v>84</v>
      </c>
      <c r="B47">
        <v>46</v>
      </c>
      <c r="C47">
        <f>Prices!D47-18</f>
        <v>-18</v>
      </c>
      <c r="D47">
        <v>5</v>
      </c>
      <c r="E47" t="s">
        <v>85</v>
      </c>
      <c r="F47">
        <f t="shared" si="1"/>
        <v>-22.5</v>
      </c>
    </row>
    <row r="48" spans="1:6" x14ac:dyDescent="0.25">
      <c r="A48" t="s">
        <v>84</v>
      </c>
      <c r="B48">
        <v>47</v>
      </c>
      <c r="C48">
        <f>Prices!D48-18</f>
        <v>-18</v>
      </c>
      <c r="D48">
        <v>5</v>
      </c>
      <c r="E48" t="s">
        <v>85</v>
      </c>
      <c r="F48">
        <f t="shared" si="1"/>
        <v>-22.5</v>
      </c>
    </row>
    <row r="49" spans="1:6" x14ac:dyDescent="0.25">
      <c r="A49" t="s">
        <v>84</v>
      </c>
      <c r="B49">
        <v>48</v>
      </c>
      <c r="C49">
        <f>Prices!D49-18</f>
        <v>-18</v>
      </c>
      <c r="D49">
        <v>5</v>
      </c>
      <c r="E49" t="s">
        <v>85</v>
      </c>
      <c r="F49">
        <f t="shared" si="1"/>
        <v>-22.5</v>
      </c>
    </row>
    <row r="50" spans="1:6" x14ac:dyDescent="0.25">
      <c r="A50" t="s">
        <v>84</v>
      </c>
      <c r="B50">
        <v>49</v>
      </c>
      <c r="C50">
        <f>Prices!D50-18</f>
        <v>-18</v>
      </c>
      <c r="D50">
        <v>5</v>
      </c>
      <c r="E50" t="s">
        <v>85</v>
      </c>
      <c r="F50">
        <f t="shared" si="1"/>
        <v>-22.5</v>
      </c>
    </row>
    <row r="51" spans="1:6" x14ac:dyDescent="0.25">
      <c r="A51" t="s">
        <v>84</v>
      </c>
      <c r="B51">
        <v>50</v>
      </c>
      <c r="C51">
        <f>Prices!D51-18</f>
        <v>-18</v>
      </c>
      <c r="D51">
        <v>5</v>
      </c>
      <c r="E51" t="s">
        <v>85</v>
      </c>
      <c r="F51">
        <f t="shared" si="1"/>
        <v>-22.5</v>
      </c>
    </row>
    <row r="52" spans="1:6" x14ac:dyDescent="0.25">
      <c r="A52" t="s">
        <v>84</v>
      </c>
      <c r="B52">
        <v>51</v>
      </c>
      <c r="C52">
        <f>Prices!D52-18</f>
        <v>-18</v>
      </c>
      <c r="D52">
        <v>5</v>
      </c>
      <c r="E52" t="s">
        <v>85</v>
      </c>
      <c r="F52">
        <f t="shared" si="1"/>
        <v>-22.5</v>
      </c>
    </row>
    <row r="53" spans="1:6" x14ac:dyDescent="0.25">
      <c r="A53" t="s">
        <v>84</v>
      </c>
      <c r="B53">
        <v>52</v>
      </c>
      <c r="C53">
        <f>Prices!D53-18</f>
        <v>-18</v>
      </c>
      <c r="D53">
        <v>5</v>
      </c>
      <c r="E53" t="s">
        <v>85</v>
      </c>
      <c r="F53">
        <f t="shared" si="1"/>
        <v>-22.5</v>
      </c>
    </row>
    <row r="54" spans="1:6" x14ac:dyDescent="0.25">
      <c r="A54" t="s">
        <v>84</v>
      </c>
      <c r="B54">
        <v>53</v>
      </c>
      <c r="C54">
        <f>Prices!D54-18</f>
        <v>-18</v>
      </c>
      <c r="D54">
        <v>5</v>
      </c>
      <c r="E54" t="s">
        <v>85</v>
      </c>
      <c r="F54">
        <f t="shared" si="1"/>
        <v>-22.5</v>
      </c>
    </row>
    <row r="55" spans="1:6" x14ac:dyDescent="0.25">
      <c r="A55" t="s">
        <v>84</v>
      </c>
      <c r="B55">
        <v>54</v>
      </c>
      <c r="C55">
        <f>Prices!D55-18</f>
        <v>-18</v>
      </c>
      <c r="D55">
        <v>5</v>
      </c>
      <c r="E55" t="s">
        <v>85</v>
      </c>
      <c r="F55">
        <f t="shared" si="1"/>
        <v>-22.5</v>
      </c>
    </row>
    <row r="56" spans="1:6" x14ac:dyDescent="0.25">
      <c r="A56" t="s">
        <v>84</v>
      </c>
      <c r="B56">
        <v>55</v>
      </c>
      <c r="C56">
        <f>Prices!D56-18</f>
        <v>-18</v>
      </c>
      <c r="D56">
        <v>5</v>
      </c>
      <c r="E56" t="s">
        <v>85</v>
      </c>
      <c r="F56">
        <f t="shared" si="1"/>
        <v>-22.5</v>
      </c>
    </row>
    <row r="57" spans="1:6" x14ac:dyDescent="0.25">
      <c r="A57" t="s">
        <v>84</v>
      </c>
      <c r="B57">
        <v>56</v>
      </c>
      <c r="C57">
        <f>Prices!D57-18</f>
        <v>-18</v>
      </c>
      <c r="D57">
        <v>5</v>
      </c>
      <c r="E57" t="s">
        <v>85</v>
      </c>
      <c r="F57">
        <f t="shared" si="1"/>
        <v>-22.5</v>
      </c>
    </row>
    <row r="58" spans="1:6" x14ac:dyDescent="0.25">
      <c r="A58" t="s">
        <v>84</v>
      </c>
      <c r="B58">
        <v>57</v>
      </c>
      <c r="C58">
        <f>Prices!D58-18</f>
        <v>-18</v>
      </c>
      <c r="D58">
        <v>5</v>
      </c>
      <c r="E58" t="s">
        <v>85</v>
      </c>
      <c r="F58">
        <f t="shared" si="1"/>
        <v>-22.5</v>
      </c>
    </row>
    <row r="59" spans="1:6" x14ac:dyDescent="0.25">
      <c r="A59" t="s">
        <v>84</v>
      </c>
      <c r="B59">
        <v>58</v>
      </c>
      <c r="C59">
        <f>Prices!D59-18</f>
        <v>-18</v>
      </c>
      <c r="D59">
        <v>5</v>
      </c>
      <c r="E59" t="s">
        <v>85</v>
      </c>
      <c r="F59">
        <f t="shared" si="1"/>
        <v>-22.5</v>
      </c>
    </row>
    <row r="60" spans="1:6" x14ac:dyDescent="0.25">
      <c r="A60" t="s">
        <v>84</v>
      </c>
      <c r="B60">
        <v>59</v>
      </c>
      <c r="C60">
        <f>Prices!D60-18</f>
        <v>-18</v>
      </c>
      <c r="D60">
        <v>5</v>
      </c>
      <c r="E60" t="s">
        <v>85</v>
      </c>
      <c r="F60">
        <f t="shared" si="1"/>
        <v>-22.5</v>
      </c>
    </row>
    <row r="61" spans="1:6" x14ac:dyDescent="0.25">
      <c r="A61" t="s">
        <v>84</v>
      </c>
      <c r="B61">
        <v>60</v>
      </c>
      <c r="C61">
        <f>Prices!D61-18</f>
        <v>-18</v>
      </c>
      <c r="D61">
        <v>5</v>
      </c>
      <c r="E61" t="s">
        <v>85</v>
      </c>
      <c r="F61">
        <f t="shared" si="1"/>
        <v>-22.5</v>
      </c>
    </row>
    <row r="62" spans="1:6" x14ac:dyDescent="0.25">
      <c r="A62" t="s">
        <v>84</v>
      </c>
      <c r="B62">
        <v>61</v>
      </c>
      <c r="C62">
        <f>Prices!D62-18</f>
        <v>-18</v>
      </c>
      <c r="D62">
        <v>5</v>
      </c>
      <c r="E62" t="s">
        <v>85</v>
      </c>
      <c r="F62">
        <f t="shared" si="1"/>
        <v>-22.5</v>
      </c>
    </row>
    <row r="63" spans="1:6" x14ac:dyDescent="0.25">
      <c r="A63" t="s">
        <v>84</v>
      </c>
      <c r="B63">
        <v>62</v>
      </c>
      <c r="C63">
        <f>Prices!D63-18</f>
        <v>-18</v>
      </c>
      <c r="D63">
        <v>5</v>
      </c>
      <c r="E63" t="s">
        <v>85</v>
      </c>
      <c r="F63">
        <f t="shared" si="1"/>
        <v>-22.5</v>
      </c>
    </row>
    <row r="64" spans="1:6" x14ac:dyDescent="0.25">
      <c r="A64" t="s">
        <v>84</v>
      </c>
      <c r="B64">
        <v>63</v>
      </c>
      <c r="C64">
        <f>Prices!D64-18</f>
        <v>-18</v>
      </c>
      <c r="D64">
        <v>5</v>
      </c>
      <c r="E64" t="s">
        <v>85</v>
      </c>
      <c r="F64">
        <f t="shared" si="1"/>
        <v>-22.5</v>
      </c>
    </row>
    <row r="65" spans="1:6" x14ac:dyDescent="0.25">
      <c r="A65" t="s">
        <v>84</v>
      </c>
      <c r="B65">
        <v>64</v>
      </c>
      <c r="C65">
        <f>Prices!D65-18</f>
        <v>-18</v>
      </c>
      <c r="D65">
        <v>5</v>
      </c>
      <c r="E65" t="s">
        <v>85</v>
      </c>
      <c r="F65">
        <f t="shared" si="1"/>
        <v>-22.5</v>
      </c>
    </row>
    <row r="66" spans="1:6" x14ac:dyDescent="0.25">
      <c r="A66" t="s">
        <v>84</v>
      </c>
      <c r="B66">
        <v>65</v>
      </c>
      <c r="C66">
        <f>Prices!D66-18</f>
        <v>-18</v>
      </c>
      <c r="D66">
        <v>5</v>
      </c>
      <c r="E66" t="s">
        <v>85</v>
      </c>
      <c r="F66">
        <f t="shared" ref="F66:F97" si="2">C66*D66/4</f>
        <v>-22.5</v>
      </c>
    </row>
    <row r="67" spans="1:6" x14ac:dyDescent="0.25">
      <c r="A67" t="s">
        <v>84</v>
      </c>
      <c r="B67">
        <v>66</v>
      </c>
      <c r="C67">
        <f>Prices!D67-18</f>
        <v>-18</v>
      </c>
      <c r="D67">
        <v>5</v>
      </c>
      <c r="E67" t="s">
        <v>85</v>
      </c>
      <c r="F67">
        <f t="shared" si="2"/>
        <v>-22.5</v>
      </c>
    </row>
    <row r="68" spans="1:6" x14ac:dyDescent="0.25">
      <c r="A68" t="s">
        <v>84</v>
      </c>
      <c r="B68">
        <v>67</v>
      </c>
      <c r="C68">
        <f>Prices!D68-18</f>
        <v>-18</v>
      </c>
      <c r="D68">
        <v>5</v>
      </c>
      <c r="E68" t="s">
        <v>85</v>
      </c>
      <c r="F68">
        <f t="shared" si="2"/>
        <v>-22.5</v>
      </c>
    </row>
    <row r="69" spans="1:6" x14ac:dyDescent="0.25">
      <c r="A69" t="s">
        <v>84</v>
      </c>
      <c r="B69">
        <v>68</v>
      </c>
      <c r="C69">
        <f>Prices!D69-18</f>
        <v>-18</v>
      </c>
      <c r="D69">
        <v>5</v>
      </c>
      <c r="E69" t="s">
        <v>85</v>
      </c>
      <c r="F69">
        <f t="shared" si="2"/>
        <v>-22.5</v>
      </c>
    </row>
    <row r="70" spans="1:6" x14ac:dyDescent="0.25">
      <c r="A70" t="s">
        <v>84</v>
      </c>
      <c r="B70">
        <v>69</v>
      </c>
      <c r="C70">
        <f>Prices!D70-18</f>
        <v>-18</v>
      </c>
      <c r="D70">
        <v>5</v>
      </c>
      <c r="E70" t="s">
        <v>85</v>
      </c>
      <c r="F70">
        <f t="shared" si="2"/>
        <v>-22.5</v>
      </c>
    </row>
    <row r="71" spans="1:6" x14ac:dyDescent="0.25">
      <c r="A71" t="s">
        <v>84</v>
      </c>
      <c r="B71">
        <v>70</v>
      </c>
      <c r="C71">
        <f>Prices!D71-18</f>
        <v>-18</v>
      </c>
      <c r="D71">
        <v>5</v>
      </c>
      <c r="E71" t="s">
        <v>85</v>
      </c>
      <c r="F71">
        <f t="shared" si="2"/>
        <v>-22.5</v>
      </c>
    </row>
    <row r="72" spans="1:6" x14ac:dyDescent="0.25">
      <c r="A72" t="s">
        <v>84</v>
      </c>
      <c r="B72">
        <v>71</v>
      </c>
      <c r="C72">
        <f>Prices!D72-18</f>
        <v>-18</v>
      </c>
      <c r="D72">
        <v>5</v>
      </c>
      <c r="E72" t="s">
        <v>85</v>
      </c>
      <c r="F72">
        <f t="shared" si="2"/>
        <v>-22.5</v>
      </c>
    </row>
    <row r="73" spans="1:6" x14ac:dyDescent="0.25">
      <c r="A73" t="s">
        <v>84</v>
      </c>
      <c r="B73">
        <v>72</v>
      </c>
      <c r="C73">
        <f>Prices!D73-18</f>
        <v>-18</v>
      </c>
      <c r="D73">
        <v>5</v>
      </c>
      <c r="E73" t="s">
        <v>85</v>
      </c>
      <c r="F73">
        <f t="shared" si="2"/>
        <v>-22.5</v>
      </c>
    </row>
    <row r="74" spans="1:6" x14ac:dyDescent="0.25">
      <c r="A74" t="s">
        <v>84</v>
      </c>
      <c r="B74">
        <v>73</v>
      </c>
      <c r="C74">
        <f>Prices!D74-18</f>
        <v>-18</v>
      </c>
      <c r="D74">
        <v>5</v>
      </c>
      <c r="E74" t="s">
        <v>85</v>
      </c>
      <c r="F74">
        <f t="shared" si="2"/>
        <v>-22.5</v>
      </c>
    </row>
    <row r="75" spans="1:6" x14ac:dyDescent="0.25">
      <c r="A75" t="s">
        <v>84</v>
      </c>
      <c r="B75">
        <v>74</v>
      </c>
      <c r="C75">
        <f>Prices!D75-18</f>
        <v>-18</v>
      </c>
      <c r="D75">
        <v>5</v>
      </c>
      <c r="E75" t="s">
        <v>85</v>
      </c>
      <c r="F75">
        <f t="shared" si="2"/>
        <v>-22.5</v>
      </c>
    </row>
    <row r="76" spans="1:6" x14ac:dyDescent="0.25">
      <c r="A76" t="s">
        <v>84</v>
      </c>
      <c r="B76">
        <v>75</v>
      </c>
      <c r="C76">
        <f>Prices!D76-18</f>
        <v>-18</v>
      </c>
      <c r="D76">
        <v>5</v>
      </c>
      <c r="E76" t="s">
        <v>85</v>
      </c>
      <c r="F76">
        <f t="shared" si="2"/>
        <v>-22.5</v>
      </c>
    </row>
    <row r="77" spans="1:6" x14ac:dyDescent="0.25">
      <c r="A77" t="s">
        <v>84</v>
      </c>
      <c r="B77">
        <v>76</v>
      </c>
      <c r="C77">
        <f>Prices!D77-18</f>
        <v>-18</v>
      </c>
      <c r="D77">
        <v>5</v>
      </c>
      <c r="E77" t="s">
        <v>85</v>
      </c>
      <c r="F77">
        <f t="shared" si="2"/>
        <v>-22.5</v>
      </c>
    </row>
    <row r="78" spans="1:6" x14ac:dyDescent="0.25">
      <c r="A78" t="s">
        <v>84</v>
      </c>
      <c r="B78">
        <v>77</v>
      </c>
      <c r="C78">
        <f>Prices!D78-18</f>
        <v>-18</v>
      </c>
      <c r="D78">
        <v>5</v>
      </c>
      <c r="E78" t="s">
        <v>85</v>
      </c>
      <c r="F78">
        <f t="shared" si="2"/>
        <v>-22.5</v>
      </c>
    </row>
    <row r="79" spans="1:6" x14ac:dyDescent="0.25">
      <c r="A79" t="s">
        <v>84</v>
      </c>
      <c r="B79">
        <v>78</v>
      </c>
      <c r="C79">
        <f>Prices!D79-18</f>
        <v>-18</v>
      </c>
      <c r="D79">
        <v>5</v>
      </c>
      <c r="E79" t="s">
        <v>85</v>
      </c>
      <c r="F79">
        <f t="shared" si="2"/>
        <v>-22.5</v>
      </c>
    </row>
    <row r="80" spans="1:6" x14ac:dyDescent="0.25">
      <c r="A80" t="s">
        <v>84</v>
      </c>
      <c r="B80">
        <v>79</v>
      </c>
      <c r="C80">
        <f>Prices!D80-18</f>
        <v>-18</v>
      </c>
      <c r="D80">
        <v>5</v>
      </c>
      <c r="E80" t="s">
        <v>85</v>
      </c>
      <c r="F80">
        <f t="shared" si="2"/>
        <v>-22.5</v>
      </c>
    </row>
    <row r="81" spans="1:6" x14ac:dyDescent="0.25">
      <c r="A81" t="s">
        <v>84</v>
      </c>
      <c r="B81">
        <v>80</v>
      </c>
      <c r="C81">
        <f>Prices!D81-18</f>
        <v>-18</v>
      </c>
      <c r="D81">
        <v>5</v>
      </c>
      <c r="E81" t="s">
        <v>85</v>
      </c>
      <c r="F81">
        <f t="shared" si="2"/>
        <v>-22.5</v>
      </c>
    </row>
    <row r="82" spans="1:6" x14ac:dyDescent="0.25">
      <c r="A82" t="s">
        <v>84</v>
      </c>
      <c r="B82">
        <v>81</v>
      </c>
      <c r="C82">
        <f>Prices!D82-18</f>
        <v>-18</v>
      </c>
      <c r="D82">
        <v>5</v>
      </c>
      <c r="E82" t="s">
        <v>85</v>
      </c>
      <c r="F82">
        <f t="shared" si="2"/>
        <v>-22.5</v>
      </c>
    </row>
    <row r="83" spans="1:6" x14ac:dyDescent="0.25">
      <c r="A83" t="s">
        <v>84</v>
      </c>
      <c r="B83">
        <v>82</v>
      </c>
      <c r="C83">
        <f>Prices!D83-18</f>
        <v>-18</v>
      </c>
      <c r="D83">
        <v>5</v>
      </c>
      <c r="E83" t="s">
        <v>85</v>
      </c>
      <c r="F83">
        <f t="shared" si="2"/>
        <v>-22.5</v>
      </c>
    </row>
    <row r="84" spans="1:6" x14ac:dyDescent="0.25">
      <c r="A84" t="s">
        <v>84</v>
      </c>
      <c r="B84">
        <v>83</v>
      </c>
      <c r="C84">
        <f>Prices!D84-18</f>
        <v>-18</v>
      </c>
      <c r="D84">
        <v>5</v>
      </c>
      <c r="E84" t="s">
        <v>85</v>
      </c>
      <c r="F84">
        <f t="shared" si="2"/>
        <v>-22.5</v>
      </c>
    </row>
    <row r="85" spans="1:6" x14ac:dyDescent="0.25">
      <c r="A85" t="s">
        <v>84</v>
      </c>
      <c r="B85">
        <v>84</v>
      </c>
      <c r="C85">
        <f>Prices!D85-18</f>
        <v>-18</v>
      </c>
      <c r="D85">
        <v>5</v>
      </c>
      <c r="E85" t="s">
        <v>85</v>
      </c>
      <c r="F85">
        <f t="shared" si="2"/>
        <v>-22.5</v>
      </c>
    </row>
    <row r="86" spans="1:6" x14ac:dyDescent="0.25">
      <c r="A86" t="s">
        <v>84</v>
      </c>
      <c r="B86">
        <v>85</v>
      </c>
      <c r="C86">
        <f>Prices!D86-18</f>
        <v>-18</v>
      </c>
      <c r="D86">
        <v>5</v>
      </c>
      <c r="E86" t="s">
        <v>85</v>
      </c>
      <c r="F86">
        <f t="shared" si="2"/>
        <v>-22.5</v>
      </c>
    </row>
    <row r="87" spans="1:6" x14ac:dyDescent="0.25">
      <c r="A87" t="s">
        <v>84</v>
      </c>
      <c r="B87">
        <v>86</v>
      </c>
      <c r="C87">
        <f>Prices!D87-18</f>
        <v>-18</v>
      </c>
      <c r="D87">
        <v>5</v>
      </c>
      <c r="E87" t="s">
        <v>85</v>
      </c>
      <c r="F87">
        <f t="shared" si="2"/>
        <v>-22.5</v>
      </c>
    </row>
    <row r="88" spans="1:6" x14ac:dyDescent="0.25">
      <c r="A88" t="s">
        <v>84</v>
      </c>
      <c r="B88">
        <v>87</v>
      </c>
      <c r="C88">
        <f>Prices!D88-18</f>
        <v>-18</v>
      </c>
      <c r="D88">
        <v>5</v>
      </c>
      <c r="E88" t="s">
        <v>85</v>
      </c>
      <c r="F88">
        <f t="shared" si="2"/>
        <v>-22.5</v>
      </c>
    </row>
    <row r="89" spans="1:6" x14ac:dyDescent="0.25">
      <c r="A89" t="s">
        <v>84</v>
      </c>
      <c r="B89">
        <v>88</v>
      </c>
      <c r="C89">
        <f>Prices!D89-18</f>
        <v>-18</v>
      </c>
      <c r="D89">
        <v>5</v>
      </c>
      <c r="E89" t="s">
        <v>85</v>
      </c>
      <c r="F89">
        <f t="shared" si="2"/>
        <v>-22.5</v>
      </c>
    </row>
    <row r="90" spans="1:6" x14ac:dyDescent="0.25">
      <c r="A90" t="s">
        <v>84</v>
      </c>
      <c r="B90">
        <v>89</v>
      </c>
      <c r="C90">
        <f>Prices!D90-18</f>
        <v>-18</v>
      </c>
      <c r="D90">
        <v>5</v>
      </c>
      <c r="E90" t="s">
        <v>85</v>
      </c>
      <c r="F90">
        <f t="shared" si="2"/>
        <v>-22.5</v>
      </c>
    </row>
    <row r="91" spans="1:6" x14ac:dyDescent="0.25">
      <c r="A91" t="s">
        <v>84</v>
      </c>
      <c r="B91">
        <v>90</v>
      </c>
      <c r="C91">
        <f>Prices!D91-18</f>
        <v>-18</v>
      </c>
      <c r="D91">
        <v>5</v>
      </c>
      <c r="E91" t="s">
        <v>85</v>
      </c>
      <c r="F91">
        <f t="shared" si="2"/>
        <v>-22.5</v>
      </c>
    </row>
    <row r="92" spans="1:6" x14ac:dyDescent="0.25">
      <c r="A92" t="s">
        <v>84</v>
      </c>
      <c r="B92">
        <v>91</v>
      </c>
      <c r="C92">
        <f>Prices!D92-18</f>
        <v>-18</v>
      </c>
      <c r="D92">
        <v>5</v>
      </c>
      <c r="E92" t="s">
        <v>85</v>
      </c>
      <c r="F92">
        <f t="shared" si="2"/>
        <v>-22.5</v>
      </c>
    </row>
    <row r="93" spans="1:6" x14ac:dyDescent="0.25">
      <c r="A93" t="s">
        <v>84</v>
      </c>
      <c r="B93">
        <v>92</v>
      </c>
      <c r="C93">
        <f>Prices!D93-18</f>
        <v>-18</v>
      </c>
      <c r="D93">
        <v>5</v>
      </c>
      <c r="E93" t="s">
        <v>85</v>
      </c>
      <c r="F93">
        <f t="shared" si="2"/>
        <v>-22.5</v>
      </c>
    </row>
    <row r="94" spans="1:6" x14ac:dyDescent="0.25">
      <c r="A94" t="s">
        <v>84</v>
      </c>
      <c r="B94">
        <v>93</v>
      </c>
      <c r="C94">
        <f>Prices!D94-18</f>
        <v>-18</v>
      </c>
      <c r="D94">
        <v>5</v>
      </c>
      <c r="E94" t="s">
        <v>85</v>
      </c>
      <c r="F94">
        <f t="shared" si="2"/>
        <v>-22.5</v>
      </c>
    </row>
    <row r="95" spans="1:6" x14ac:dyDescent="0.25">
      <c r="A95" t="s">
        <v>84</v>
      </c>
      <c r="B95">
        <v>94</v>
      </c>
      <c r="C95">
        <f>Prices!D95-18</f>
        <v>-18</v>
      </c>
      <c r="D95">
        <v>5</v>
      </c>
      <c r="E95" t="s">
        <v>85</v>
      </c>
      <c r="F95">
        <f t="shared" si="2"/>
        <v>-22.5</v>
      </c>
    </row>
    <row r="96" spans="1:6" x14ac:dyDescent="0.25">
      <c r="A96" t="s">
        <v>84</v>
      </c>
      <c r="B96">
        <v>95</v>
      </c>
      <c r="C96">
        <f>Prices!D96-18</f>
        <v>-18</v>
      </c>
      <c r="D96">
        <v>5</v>
      </c>
      <c r="E96" t="s">
        <v>85</v>
      </c>
      <c r="F96">
        <f t="shared" si="2"/>
        <v>-22.5</v>
      </c>
    </row>
    <row r="97" spans="1:6" x14ac:dyDescent="0.25">
      <c r="A97" t="s">
        <v>84</v>
      </c>
      <c r="B97">
        <v>96</v>
      </c>
      <c r="C97">
        <f>Prices!D97-18</f>
        <v>-18</v>
      </c>
      <c r="D97">
        <v>5</v>
      </c>
      <c r="E97" t="s">
        <v>85</v>
      </c>
      <c r="F97">
        <f t="shared" si="2"/>
        <v>-22.5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8"/>
  <dimension ref="A1:F97"/>
  <sheetViews>
    <sheetView workbookViewId="0">
      <selection activeCell="J21" sqref="J21"/>
    </sheetView>
  </sheetViews>
  <sheetFormatPr defaultRowHeight="15" x14ac:dyDescent="0.25"/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Prices!D2-25</f>
        <v>-25</v>
      </c>
      <c r="D2">
        <v>5</v>
      </c>
      <c r="E2" t="s">
        <v>85</v>
      </c>
      <c r="F2">
        <f t="shared" ref="F2:F33" si="0">C2*D2/4</f>
        <v>-31.25</v>
      </c>
    </row>
    <row r="3" spans="1:6" x14ac:dyDescent="0.25">
      <c r="A3" t="s">
        <v>84</v>
      </c>
      <c r="B3">
        <v>2</v>
      </c>
      <c r="C3">
        <f>Prices!D3-25</f>
        <v>-25</v>
      </c>
      <c r="D3">
        <v>5</v>
      </c>
      <c r="E3" t="s">
        <v>85</v>
      </c>
      <c r="F3">
        <f t="shared" si="0"/>
        <v>-31.25</v>
      </c>
    </row>
    <row r="4" spans="1:6" x14ac:dyDescent="0.25">
      <c r="A4" t="s">
        <v>84</v>
      </c>
      <c r="B4">
        <v>3</v>
      </c>
      <c r="C4">
        <f>Prices!D4-25</f>
        <v>-25</v>
      </c>
      <c r="D4">
        <v>5</v>
      </c>
      <c r="E4" t="s">
        <v>85</v>
      </c>
      <c r="F4">
        <f t="shared" si="0"/>
        <v>-31.25</v>
      </c>
    </row>
    <row r="5" spans="1:6" x14ac:dyDescent="0.25">
      <c r="A5" t="s">
        <v>84</v>
      </c>
      <c r="B5">
        <v>4</v>
      </c>
      <c r="C5">
        <f>Prices!D5-25</f>
        <v>-25</v>
      </c>
      <c r="D5">
        <v>5</v>
      </c>
      <c r="E5" t="s">
        <v>85</v>
      </c>
      <c r="F5">
        <f t="shared" si="0"/>
        <v>-31.25</v>
      </c>
    </row>
    <row r="6" spans="1:6" x14ac:dyDescent="0.25">
      <c r="A6" t="s">
        <v>84</v>
      </c>
      <c r="B6">
        <v>5</v>
      </c>
      <c r="C6">
        <f>Prices!D6-25</f>
        <v>-25</v>
      </c>
      <c r="D6">
        <v>5</v>
      </c>
      <c r="E6" t="s">
        <v>85</v>
      </c>
      <c r="F6">
        <f t="shared" si="0"/>
        <v>-31.25</v>
      </c>
    </row>
    <row r="7" spans="1:6" x14ac:dyDescent="0.25">
      <c r="A7" t="s">
        <v>84</v>
      </c>
      <c r="B7">
        <v>6</v>
      </c>
      <c r="C7">
        <f>Prices!D7-25</f>
        <v>-25</v>
      </c>
      <c r="D7">
        <v>5</v>
      </c>
      <c r="E7" t="s">
        <v>85</v>
      </c>
      <c r="F7">
        <f t="shared" si="0"/>
        <v>-31.25</v>
      </c>
    </row>
    <row r="8" spans="1:6" x14ac:dyDescent="0.25">
      <c r="A8" t="s">
        <v>84</v>
      </c>
      <c r="B8">
        <v>7</v>
      </c>
      <c r="C8">
        <f>Prices!D8-25</f>
        <v>-25</v>
      </c>
      <c r="D8">
        <v>5</v>
      </c>
      <c r="E8" t="s">
        <v>85</v>
      </c>
      <c r="F8">
        <f t="shared" si="0"/>
        <v>-31.25</v>
      </c>
    </row>
    <row r="9" spans="1:6" x14ac:dyDescent="0.25">
      <c r="A9" t="s">
        <v>84</v>
      </c>
      <c r="B9">
        <v>8</v>
      </c>
      <c r="C9">
        <f>Prices!D9-25</f>
        <v>-25</v>
      </c>
      <c r="D9">
        <v>5</v>
      </c>
      <c r="E9" t="s">
        <v>85</v>
      </c>
      <c r="F9">
        <f t="shared" si="0"/>
        <v>-31.25</v>
      </c>
    </row>
    <row r="10" spans="1:6" x14ac:dyDescent="0.25">
      <c r="A10" t="s">
        <v>84</v>
      </c>
      <c r="B10">
        <v>9</v>
      </c>
      <c r="C10">
        <f>Prices!D10-25</f>
        <v>-25</v>
      </c>
      <c r="D10">
        <v>5</v>
      </c>
      <c r="E10" t="s">
        <v>85</v>
      </c>
      <c r="F10">
        <f t="shared" si="0"/>
        <v>-31.25</v>
      </c>
    </row>
    <row r="11" spans="1:6" x14ac:dyDescent="0.25">
      <c r="A11" t="s">
        <v>84</v>
      </c>
      <c r="B11">
        <v>10</v>
      </c>
      <c r="C11">
        <f>Prices!D11-25</f>
        <v>-25</v>
      </c>
      <c r="D11">
        <v>5</v>
      </c>
      <c r="E11" t="s">
        <v>85</v>
      </c>
      <c r="F11">
        <f t="shared" si="0"/>
        <v>-31.25</v>
      </c>
    </row>
    <row r="12" spans="1:6" x14ac:dyDescent="0.25">
      <c r="A12" t="s">
        <v>84</v>
      </c>
      <c r="B12">
        <v>11</v>
      </c>
      <c r="C12">
        <f>Prices!D12-25</f>
        <v>-25</v>
      </c>
      <c r="D12">
        <v>5</v>
      </c>
      <c r="E12" t="s">
        <v>85</v>
      </c>
      <c r="F12">
        <f t="shared" si="0"/>
        <v>-31.25</v>
      </c>
    </row>
    <row r="13" spans="1:6" x14ac:dyDescent="0.25">
      <c r="A13" t="s">
        <v>84</v>
      </c>
      <c r="B13">
        <v>12</v>
      </c>
      <c r="C13">
        <f>Prices!D13-25</f>
        <v>-25</v>
      </c>
      <c r="D13">
        <v>5</v>
      </c>
      <c r="E13" t="s">
        <v>85</v>
      </c>
      <c r="F13">
        <f t="shared" si="0"/>
        <v>-31.25</v>
      </c>
    </row>
    <row r="14" spans="1:6" x14ac:dyDescent="0.25">
      <c r="A14" t="s">
        <v>84</v>
      </c>
      <c r="B14">
        <v>13</v>
      </c>
      <c r="C14">
        <f>Prices!D14-25</f>
        <v>-25</v>
      </c>
      <c r="D14">
        <v>5</v>
      </c>
      <c r="E14" t="s">
        <v>85</v>
      </c>
      <c r="F14">
        <f t="shared" si="0"/>
        <v>-31.25</v>
      </c>
    </row>
    <row r="15" spans="1:6" x14ac:dyDescent="0.25">
      <c r="A15" t="s">
        <v>84</v>
      </c>
      <c r="B15">
        <v>14</v>
      </c>
      <c r="C15">
        <f>Prices!D15-25</f>
        <v>-25</v>
      </c>
      <c r="D15">
        <v>5</v>
      </c>
      <c r="E15" t="s">
        <v>85</v>
      </c>
      <c r="F15">
        <f t="shared" si="0"/>
        <v>-31.25</v>
      </c>
    </row>
    <row r="16" spans="1:6" x14ac:dyDescent="0.25">
      <c r="A16" t="s">
        <v>84</v>
      </c>
      <c r="B16">
        <v>15</v>
      </c>
      <c r="C16">
        <f>Prices!D16-25</f>
        <v>-25</v>
      </c>
      <c r="D16">
        <v>5</v>
      </c>
      <c r="E16" t="s">
        <v>85</v>
      </c>
      <c r="F16">
        <f t="shared" si="0"/>
        <v>-31.25</v>
      </c>
    </row>
    <row r="17" spans="1:6" x14ac:dyDescent="0.25">
      <c r="A17" t="s">
        <v>84</v>
      </c>
      <c r="B17">
        <v>16</v>
      </c>
      <c r="C17">
        <f>Prices!D17-25</f>
        <v>-25</v>
      </c>
      <c r="D17">
        <v>5</v>
      </c>
      <c r="E17" t="s">
        <v>85</v>
      </c>
      <c r="F17">
        <f t="shared" si="0"/>
        <v>-31.25</v>
      </c>
    </row>
    <row r="18" spans="1:6" x14ac:dyDescent="0.25">
      <c r="A18" t="s">
        <v>84</v>
      </c>
      <c r="B18">
        <v>17</v>
      </c>
      <c r="C18">
        <f>Prices!D18-25</f>
        <v>-25</v>
      </c>
      <c r="D18">
        <v>5</v>
      </c>
      <c r="E18" t="s">
        <v>85</v>
      </c>
      <c r="F18">
        <f t="shared" si="0"/>
        <v>-31.25</v>
      </c>
    </row>
    <row r="19" spans="1:6" x14ac:dyDescent="0.25">
      <c r="A19" t="s">
        <v>84</v>
      </c>
      <c r="B19">
        <v>18</v>
      </c>
      <c r="C19">
        <f>Prices!D19-25</f>
        <v>-25</v>
      </c>
      <c r="D19">
        <v>5</v>
      </c>
      <c r="E19" t="s">
        <v>85</v>
      </c>
      <c r="F19">
        <f t="shared" si="0"/>
        <v>-31.25</v>
      </c>
    </row>
    <row r="20" spans="1:6" x14ac:dyDescent="0.25">
      <c r="A20" t="s">
        <v>84</v>
      </c>
      <c r="B20">
        <v>19</v>
      </c>
      <c r="C20">
        <f>Prices!D20-25</f>
        <v>-25</v>
      </c>
      <c r="D20">
        <v>5</v>
      </c>
      <c r="E20" t="s">
        <v>85</v>
      </c>
      <c r="F20">
        <f t="shared" si="0"/>
        <v>-31.25</v>
      </c>
    </row>
    <row r="21" spans="1:6" x14ac:dyDescent="0.25">
      <c r="A21" t="s">
        <v>84</v>
      </c>
      <c r="B21">
        <v>20</v>
      </c>
      <c r="C21">
        <f>Prices!D21-25</f>
        <v>-25</v>
      </c>
      <c r="D21">
        <v>5</v>
      </c>
      <c r="E21" t="s">
        <v>85</v>
      </c>
      <c r="F21">
        <f t="shared" si="0"/>
        <v>-31.25</v>
      </c>
    </row>
    <row r="22" spans="1:6" x14ac:dyDescent="0.25">
      <c r="A22" t="s">
        <v>84</v>
      </c>
      <c r="B22">
        <v>21</v>
      </c>
      <c r="C22">
        <f>Prices!D22-25</f>
        <v>-25</v>
      </c>
      <c r="D22">
        <v>5</v>
      </c>
      <c r="E22" t="s">
        <v>85</v>
      </c>
      <c r="F22">
        <f t="shared" si="0"/>
        <v>-31.25</v>
      </c>
    </row>
    <row r="23" spans="1:6" x14ac:dyDescent="0.25">
      <c r="A23" t="s">
        <v>84</v>
      </c>
      <c r="B23">
        <v>22</v>
      </c>
      <c r="C23">
        <f>Prices!D23-25</f>
        <v>-25</v>
      </c>
      <c r="D23">
        <v>5</v>
      </c>
      <c r="E23" t="s">
        <v>85</v>
      </c>
      <c r="F23">
        <f t="shared" si="0"/>
        <v>-31.25</v>
      </c>
    </row>
    <row r="24" spans="1:6" x14ac:dyDescent="0.25">
      <c r="A24" t="s">
        <v>84</v>
      </c>
      <c r="B24">
        <v>23</v>
      </c>
      <c r="C24">
        <f>Prices!D24-25</f>
        <v>-25</v>
      </c>
      <c r="D24">
        <v>5</v>
      </c>
      <c r="E24" t="s">
        <v>85</v>
      </c>
      <c r="F24">
        <f t="shared" si="0"/>
        <v>-31.25</v>
      </c>
    </row>
    <row r="25" spans="1:6" x14ac:dyDescent="0.25">
      <c r="A25" t="s">
        <v>84</v>
      </c>
      <c r="B25">
        <v>24</v>
      </c>
      <c r="C25">
        <f>Prices!D25-25</f>
        <v>-25</v>
      </c>
      <c r="D25">
        <v>5</v>
      </c>
      <c r="E25" t="s">
        <v>85</v>
      </c>
      <c r="F25">
        <f t="shared" si="0"/>
        <v>-31.25</v>
      </c>
    </row>
    <row r="26" spans="1:6" x14ac:dyDescent="0.25">
      <c r="A26" t="s">
        <v>84</v>
      </c>
      <c r="B26">
        <v>25</v>
      </c>
      <c r="C26">
        <f>Prices!D26-25</f>
        <v>-25</v>
      </c>
      <c r="D26">
        <v>5</v>
      </c>
      <c r="E26" t="s">
        <v>85</v>
      </c>
      <c r="F26">
        <f t="shared" si="0"/>
        <v>-31.25</v>
      </c>
    </row>
    <row r="27" spans="1:6" x14ac:dyDescent="0.25">
      <c r="A27" t="s">
        <v>84</v>
      </c>
      <c r="B27">
        <v>26</v>
      </c>
      <c r="C27">
        <f>Prices!D27-25</f>
        <v>-25</v>
      </c>
      <c r="D27">
        <v>5</v>
      </c>
      <c r="E27" t="s">
        <v>85</v>
      </c>
      <c r="F27">
        <f t="shared" si="0"/>
        <v>-31.25</v>
      </c>
    </row>
    <row r="28" spans="1:6" x14ac:dyDescent="0.25">
      <c r="A28" t="s">
        <v>84</v>
      </c>
      <c r="B28">
        <v>27</v>
      </c>
      <c r="C28">
        <f>Prices!D28-25</f>
        <v>-25</v>
      </c>
      <c r="D28">
        <v>5</v>
      </c>
      <c r="E28" t="s">
        <v>85</v>
      </c>
      <c r="F28">
        <f t="shared" si="0"/>
        <v>-31.25</v>
      </c>
    </row>
    <row r="29" spans="1:6" x14ac:dyDescent="0.25">
      <c r="A29" t="s">
        <v>84</v>
      </c>
      <c r="B29">
        <v>28</v>
      </c>
      <c r="C29">
        <f>Prices!D29-25</f>
        <v>-25</v>
      </c>
      <c r="D29">
        <v>5</v>
      </c>
      <c r="E29" t="s">
        <v>85</v>
      </c>
      <c r="F29">
        <f t="shared" si="0"/>
        <v>-31.25</v>
      </c>
    </row>
    <row r="30" spans="1:6" x14ac:dyDescent="0.25">
      <c r="A30" t="s">
        <v>84</v>
      </c>
      <c r="B30">
        <v>29</v>
      </c>
      <c r="C30">
        <f>Prices!D30-25</f>
        <v>-25</v>
      </c>
      <c r="D30">
        <v>5</v>
      </c>
      <c r="E30" t="s">
        <v>85</v>
      </c>
      <c r="F30">
        <f t="shared" si="0"/>
        <v>-31.25</v>
      </c>
    </row>
    <row r="31" spans="1:6" x14ac:dyDescent="0.25">
      <c r="A31" t="s">
        <v>84</v>
      </c>
      <c r="B31">
        <v>30</v>
      </c>
      <c r="C31">
        <f>Prices!D31-25</f>
        <v>-25</v>
      </c>
      <c r="D31">
        <v>5</v>
      </c>
      <c r="E31" t="s">
        <v>85</v>
      </c>
      <c r="F31">
        <f t="shared" si="0"/>
        <v>-31.25</v>
      </c>
    </row>
    <row r="32" spans="1:6" x14ac:dyDescent="0.25">
      <c r="A32" t="s">
        <v>84</v>
      </c>
      <c r="B32">
        <v>31</v>
      </c>
      <c r="C32">
        <f>Prices!D32-25</f>
        <v>-25</v>
      </c>
      <c r="D32">
        <v>5</v>
      </c>
      <c r="E32" t="s">
        <v>85</v>
      </c>
      <c r="F32">
        <f t="shared" si="0"/>
        <v>-31.25</v>
      </c>
    </row>
    <row r="33" spans="1:6" x14ac:dyDescent="0.25">
      <c r="A33" t="s">
        <v>84</v>
      </c>
      <c r="B33">
        <v>32</v>
      </c>
      <c r="C33">
        <f>Prices!D33-25</f>
        <v>-25</v>
      </c>
      <c r="D33">
        <v>5</v>
      </c>
      <c r="E33" t="s">
        <v>85</v>
      </c>
      <c r="F33">
        <f t="shared" si="0"/>
        <v>-31.25</v>
      </c>
    </row>
    <row r="34" spans="1:6" x14ac:dyDescent="0.25">
      <c r="A34" t="s">
        <v>84</v>
      </c>
      <c r="B34">
        <v>33</v>
      </c>
      <c r="C34">
        <f>Prices!D34-25</f>
        <v>-25</v>
      </c>
      <c r="D34">
        <v>5</v>
      </c>
      <c r="E34" t="s">
        <v>85</v>
      </c>
      <c r="F34">
        <f t="shared" ref="F34:F65" si="1">C34*D34/4</f>
        <v>-31.25</v>
      </c>
    </row>
    <row r="35" spans="1:6" x14ac:dyDescent="0.25">
      <c r="A35" t="s">
        <v>84</v>
      </c>
      <c r="B35">
        <v>34</v>
      </c>
      <c r="C35">
        <f>Prices!D35-25</f>
        <v>-25</v>
      </c>
      <c r="D35">
        <v>5</v>
      </c>
      <c r="E35" t="s">
        <v>85</v>
      </c>
      <c r="F35">
        <f t="shared" si="1"/>
        <v>-31.25</v>
      </c>
    </row>
    <row r="36" spans="1:6" x14ac:dyDescent="0.25">
      <c r="A36" t="s">
        <v>84</v>
      </c>
      <c r="B36">
        <v>35</v>
      </c>
      <c r="C36">
        <f>Prices!D36-25</f>
        <v>-25</v>
      </c>
      <c r="D36">
        <v>5</v>
      </c>
      <c r="E36" t="s">
        <v>85</v>
      </c>
      <c r="F36">
        <f t="shared" si="1"/>
        <v>-31.25</v>
      </c>
    </row>
    <row r="37" spans="1:6" x14ac:dyDescent="0.25">
      <c r="A37" t="s">
        <v>84</v>
      </c>
      <c r="B37">
        <v>36</v>
      </c>
      <c r="C37">
        <f>Prices!D37-25</f>
        <v>-25</v>
      </c>
      <c r="D37">
        <v>5</v>
      </c>
      <c r="E37" t="s">
        <v>85</v>
      </c>
      <c r="F37">
        <f t="shared" si="1"/>
        <v>-31.25</v>
      </c>
    </row>
    <row r="38" spans="1:6" x14ac:dyDescent="0.25">
      <c r="A38" t="s">
        <v>84</v>
      </c>
      <c r="B38">
        <v>37</v>
      </c>
      <c r="C38">
        <f>Prices!D38-25</f>
        <v>-25</v>
      </c>
      <c r="D38">
        <v>5</v>
      </c>
      <c r="E38" t="s">
        <v>85</v>
      </c>
      <c r="F38">
        <f t="shared" si="1"/>
        <v>-31.25</v>
      </c>
    </row>
    <row r="39" spans="1:6" x14ac:dyDescent="0.25">
      <c r="A39" t="s">
        <v>84</v>
      </c>
      <c r="B39">
        <v>38</v>
      </c>
      <c r="C39">
        <f>Prices!D39-25</f>
        <v>-25</v>
      </c>
      <c r="D39">
        <v>5</v>
      </c>
      <c r="E39" t="s">
        <v>85</v>
      </c>
      <c r="F39">
        <f t="shared" si="1"/>
        <v>-31.25</v>
      </c>
    </row>
    <row r="40" spans="1:6" x14ac:dyDescent="0.25">
      <c r="A40" t="s">
        <v>84</v>
      </c>
      <c r="B40">
        <v>39</v>
      </c>
      <c r="C40">
        <f>Prices!D40-25</f>
        <v>-25</v>
      </c>
      <c r="D40">
        <v>5</v>
      </c>
      <c r="E40" t="s">
        <v>85</v>
      </c>
      <c r="F40">
        <f t="shared" si="1"/>
        <v>-31.25</v>
      </c>
    </row>
    <row r="41" spans="1:6" x14ac:dyDescent="0.25">
      <c r="A41" t="s">
        <v>84</v>
      </c>
      <c r="B41">
        <v>40</v>
      </c>
      <c r="C41">
        <f>Prices!D41-25</f>
        <v>-25</v>
      </c>
      <c r="D41">
        <v>5</v>
      </c>
      <c r="E41" t="s">
        <v>85</v>
      </c>
      <c r="F41">
        <f t="shared" si="1"/>
        <v>-31.25</v>
      </c>
    </row>
    <row r="42" spans="1:6" x14ac:dyDescent="0.25">
      <c r="A42" t="s">
        <v>84</v>
      </c>
      <c r="B42">
        <v>41</v>
      </c>
      <c r="C42">
        <f>Prices!D42-25</f>
        <v>-25</v>
      </c>
      <c r="D42">
        <v>5</v>
      </c>
      <c r="E42" t="s">
        <v>85</v>
      </c>
      <c r="F42">
        <f t="shared" si="1"/>
        <v>-31.25</v>
      </c>
    </row>
    <row r="43" spans="1:6" x14ac:dyDescent="0.25">
      <c r="A43" t="s">
        <v>84</v>
      </c>
      <c r="B43">
        <v>42</v>
      </c>
      <c r="C43">
        <f>Prices!D43-25</f>
        <v>-25</v>
      </c>
      <c r="D43">
        <v>5</v>
      </c>
      <c r="E43" t="s">
        <v>85</v>
      </c>
      <c r="F43">
        <f t="shared" si="1"/>
        <v>-31.25</v>
      </c>
    </row>
    <row r="44" spans="1:6" x14ac:dyDescent="0.25">
      <c r="A44" t="s">
        <v>84</v>
      </c>
      <c r="B44">
        <v>43</v>
      </c>
      <c r="C44">
        <f>Prices!D44-25</f>
        <v>-25</v>
      </c>
      <c r="D44">
        <v>5</v>
      </c>
      <c r="E44" t="s">
        <v>85</v>
      </c>
      <c r="F44">
        <f t="shared" si="1"/>
        <v>-31.25</v>
      </c>
    </row>
    <row r="45" spans="1:6" x14ac:dyDescent="0.25">
      <c r="A45" t="s">
        <v>84</v>
      </c>
      <c r="B45">
        <v>44</v>
      </c>
      <c r="C45">
        <f>Prices!D45-25</f>
        <v>-25</v>
      </c>
      <c r="D45">
        <v>5</v>
      </c>
      <c r="E45" t="s">
        <v>85</v>
      </c>
      <c r="F45">
        <f t="shared" si="1"/>
        <v>-31.25</v>
      </c>
    </row>
    <row r="46" spans="1:6" x14ac:dyDescent="0.25">
      <c r="A46" t="s">
        <v>84</v>
      </c>
      <c r="B46">
        <v>45</v>
      </c>
      <c r="C46">
        <f>Prices!D46-25</f>
        <v>-25</v>
      </c>
      <c r="D46">
        <v>5</v>
      </c>
      <c r="E46" t="s">
        <v>85</v>
      </c>
      <c r="F46">
        <f t="shared" si="1"/>
        <v>-31.25</v>
      </c>
    </row>
    <row r="47" spans="1:6" x14ac:dyDescent="0.25">
      <c r="A47" t="s">
        <v>84</v>
      </c>
      <c r="B47">
        <v>46</v>
      </c>
      <c r="C47">
        <f>Prices!D47-25</f>
        <v>-25</v>
      </c>
      <c r="D47">
        <v>5</v>
      </c>
      <c r="E47" t="s">
        <v>85</v>
      </c>
      <c r="F47">
        <f t="shared" si="1"/>
        <v>-31.25</v>
      </c>
    </row>
    <row r="48" spans="1:6" x14ac:dyDescent="0.25">
      <c r="A48" t="s">
        <v>84</v>
      </c>
      <c r="B48">
        <v>47</v>
      </c>
      <c r="C48">
        <f>Prices!D48-25</f>
        <v>-25</v>
      </c>
      <c r="D48">
        <v>5</v>
      </c>
      <c r="E48" t="s">
        <v>85</v>
      </c>
      <c r="F48">
        <f t="shared" si="1"/>
        <v>-31.25</v>
      </c>
    </row>
    <row r="49" spans="1:6" x14ac:dyDescent="0.25">
      <c r="A49" t="s">
        <v>84</v>
      </c>
      <c r="B49">
        <v>48</v>
      </c>
      <c r="C49">
        <f>Prices!D49-25</f>
        <v>-25</v>
      </c>
      <c r="D49">
        <v>5</v>
      </c>
      <c r="E49" t="s">
        <v>85</v>
      </c>
      <c r="F49">
        <f t="shared" si="1"/>
        <v>-31.25</v>
      </c>
    </row>
    <row r="50" spans="1:6" x14ac:dyDescent="0.25">
      <c r="A50" t="s">
        <v>84</v>
      </c>
      <c r="B50">
        <v>49</v>
      </c>
      <c r="C50">
        <f>Prices!D50-25</f>
        <v>-25</v>
      </c>
      <c r="D50">
        <v>5</v>
      </c>
      <c r="E50" t="s">
        <v>85</v>
      </c>
      <c r="F50">
        <f t="shared" si="1"/>
        <v>-31.25</v>
      </c>
    </row>
    <row r="51" spans="1:6" x14ac:dyDescent="0.25">
      <c r="A51" t="s">
        <v>84</v>
      </c>
      <c r="B51">
        <v>50</v>
      </c>
      <c r="C51">
        <f>Prices!D51-25</f>
        <v>-25</v>
      </c>
      <c r="D51">
        <v>5</v>
      </c>
      <c r="E51" t="s">
        <v>85</v>
      </c>
      <c r="F51">
        <f t="shared" si="1"/>
        <v>-31.25</v>
      </c>
    </row>
    <row r="52" spans="1:6" x14ac:dyDescent="0.25">
      <c r="A52" t="s">
        <v>84</v>
      </c>
      <c r="B52">
        <v>51</v>
      </c>
      <c r="C52">
        <f>Prices!D52-25</f>
        <v>-25</v>
      </c>
      <c r="D52">
        <v>5</v>
      </c>
      <c r="E52" t="s">
        <v>85</v>
      </c>
      <c r="F52">
        <f t="shared" si="1"/>
        <v>-31.25</v>
      </c>
    </row>
    <row r="53" spans="1:6" x14ac:dyDescent="0.25">
      <c r="A53" t="s">
        <v>84</v>
      </c>
      <c r="B53">
        <v>52</v>
      </c>
      <c r="C53">
        <f>Prices!D53-25</f>
        <v>-25</v>
      </c>
      <c r="D53">
        <v>5</v>
      </c>
      <c r="E53" t="s">
        <v>85</v>
      </c>
      <c r="F53">
        <f t="shared" si="1"/>
        <v>-31.25</v>
      </c>
    </row>
    <row r="54" spans="1:6" x14ac:dyDescent="0.25">
      <c r="A54" t="s">
        <v>84</v>
      </c>
      <c r="B54">
        <v>53</v>
      </c>
      <c r="C54">
        <f>Prices!D54-25</f>
        <v>-25</v>
      </c>
      <c r="D54">
        <v>5</v>
      </c>
      <c r="E54" t="s">
        <v>85</v>
      </c>
      <c r="F54">
        <f t="shared" si="1"/>
        <v>-31.25</v>
      </c>
    </row>
    <row r="55" spans="1:6" x14ac:dyDescent="0.25">
      <c r="A55" t="s">
        <v>84</v>
      </c>
      <c r="B55">
        <v>54</v>
      </c>
      <c r="C55">
        <f>Prices!D55-25</f>
        <v>-25</v>
      </c>
      <c r="D55">
        <v>5</v>
      </c>
      <c r="E55" t="s">
        <v>85</v>
      </c>
      <c r="F55">
        <f t="shared" si="1"/>
        <v>-31.25</v>
      </c>
    </row>
    <row r="56" spans="1:6" x14ac:dyDescent="0.25">
      <c r="A56" t="s">
        <v>84</v>
      </c>
      <c r="B56">
        <v>55</v>
      </c>
      <c r="C56">
        <f>Prices!D56-25</f>
        <v>-25</v>
      </c>
      <c r="D56">
        <v>5</v>
      </c>
      <c r="E56" t="s">
        <v>85</v>
      </c>
      <c r="F56">
        <f t="shared" si="1"/>
        <v>-31.25</v>
      </c>
    </row>
    <row r="57" spans="1:6" x14ac:dyDescent="0.25">
      <c r="A57" t="s">
        <v>84</v>
      </c>
      <c r="B57">
        <v>56</v>
      </c>
      <c r="C57">
        <f>Prices!D57-25</f>
        <v>-25</v>
      </c>
      <c r="D57">
        <v>5</v>
      </c>
      <c r="E57" t="s">
        <v>85</v>
      </c>
      <c r="F57">
        <f t="shared" si="1"/>
        <v>-31.25</v>
      </c>
    </row>
    <row r="58" spans="1:6" x14ac:dyDescent="0.25">
      <c r="A58" t="s">
        <v>84</v>
      </c>
      <c r="B58">
        <v>57</v>
      </c>
      <c r="C58">
        <f>Prices!D58-25</f>
        <v>-25</v>
      </c>
      <c r="D58">
        <v>5</v>
      </c>
      <c r="E58" t="s">
        <v>85</v>
      </c>
      <c r="F58">
        <f t="shared" si="1"/>
        <v>-31.25</v>
      </c>
    </row>
    <row r="59" spans="1:6" x14ac:dyDescent="0.25">
      <c r="A59" t="s">
        <v>84</v>
      </c>
      <c r="B59">
        <v>58</v>
      </c>
      <c r="C59">
        <f>Prices!D59-25</f>
        <v>-25</v>
      </c>
      <c r="D59">
        <v>5</v>
      </c>
      <c r="E59" t="s">
        <v>85</v>
      </c>
      <c r="F59">
        <f t="shared" si="1"/>
        <v>-31.25</v>
      </c>
    </row>
    <row r="60" spans="1:6" x14ac:dyDescent="0.25">
      <c r="A60" t="s">
        <v>84</v>
      </c>
      <c r="B60">
        <v>59</v>
      </c>
      <c r="C60">
        <f>Prices!D60-25</f>
        <v>-25</v>
      </c>
      <c r="D60">
        <v>5</v>
      </c>
      <c r="E60" t="s">
        <v>85</v>
      </c>
      <c r="F60">
        <f t="shared" si="1"/>
        <v>-31.25</v>
      </c>
    </row>
    <row r="61" spans="1:6" x14ac:dyDescent="0.25">
      <c r="A61" t="s">
        <v>84</v>
      </c>
      <c r="B61">
        <v>60</v>
      </c>
      <c r="C61">
        <f>Prices!D61-25</f>
        <v>-25</v>
      </c>
      <c r="D61">
        <v>5</v>
      </c>
      <c r="E61" t="s">
        <v>85</v>
      </c>
      <c r="F61">
        <f t="shared" si="1"/>
        <v>-31.25</v>
      </c>
    </row>
    <row r="62" spans="1:6" x14ac:dyDescent="0.25">
      <c r="A62" t="s">
        <v>84</v>
      </c>
      <c r="B62">
        <v>61</v>
      </c>
      <c r="C62">
        <f>Prices!D62-25</f>
        <v>-25</v>
      </c>
      <c r="D62">
        <v>5</v>
      </c>
      <c r="E62" t="s">
        <v>85</v>
      </c>
      <c r="F62">
        <f t="shared" si="1"/>
        <v>-31.25</v>
      </c>
    </row>
    <row r="63" spans="1:6" x14ac:dyDescent="0.25">
      <c r="A63" t="s">
        <v>84</v>
      </c>
      <c r="B63">
        <v>62</v>
      </c>
      <c r="C63">
        <f>Prices!D63-25</f>
        <v>-25</v>
      </c>
      <c r="D63">
        <v>5</v>
      </c>
      <c r="E63" t="s">
        <v>85</v>
      </c>
      <c r="F63">
        <f t="shared" si="1"/>
        <v>-31.25</v>
      </c>
    </row>
    <row r="64" spans="1:6" x14ac:dyDescent="0.25">
      <c r="A64" t="s">
        <v>84</v>
      </c>
      <c r="B64">
        <v>63</v>
      </c>
      <c r="C64">
        <f>Prices!D64-25</f>
        <v>-25</v>
      </c>
      <c r="D64">
        <v>5</v>
      </c>
      <c r="E64" t="s">
        <v>85</v>
      </c>
      <c r="F64">
        <f t="shared" si="1"/>
        <v>-31.25</v>
      </c>
    </row>
    <row r="65" spans="1:6" x14ac:dyDescent="0.25">
      <c r="A65" t="s">
        <v>84</v>
      </c>
      <c r="B65">
        <v>64</v>
      </c>
      <c r="C65">
        <f>Prices!D65-25</f>
        <v>-25</v>
      </c>
      <c r="D65">
        <v>5</v>
      </c>
      <c r="E65" t="s">
        <v>85</v>
      </c>
      <c r="F65">
        <f t="shared" si="1"/>
        <v>-31.25</v>
      </c>
    </row>
    <row r="66" spans="1:6" x14ac:dyDescent="0.25">
      <c r="A66" t="s">
        <v>84</v>
      </c>
      <c r="B66">
        <v>65</v>
      </c>
      <c r="C66">
        <f>Prices!D66-25</f>
        <v>-25</v>
      </c>
      <c r="D66">
        <v>5</v>
      </c>
      <c r="E66" t="s">
        <v>85</v>
      </c>
      <c r="F66">
        <f t="shared" ref="F66:F97" si="2">C66*D66/4</f>
        <v>-31.25</v>
      </c>
    </row>
    <row r="67" spans="1:6" x14ac:dyDescent="0.25">
      <c r="A67" t="s">
        <v>84</v>
      </c>
      <c r="B67">
        <v>66</v>
      </c>
      <c r="C67">
        <f>Prices!D67-25</f>
        <v>-25</v>
      </c>
      <c r="D67">
        <v>5</v>
      </c>
      <c r="E67" t="s">
        <v>85</v>
      </c>
      <c r="F67">
        <f t="shared" si="2"/>
        <v>-31.25</v>
      </c>
    </row>
    <row r="68" spans="1:6" x14ac:dyDescent="0.25">
      <c r="A68" t="s">
        <v>84</v>
      </c>
      <c r="B68">
        <v>67</v>
      </c>
      <c r="C68">
        <f>Prices!D68-25</f>
        <v>-25</v>
      </c>
      <c r="D68">
        <v>5</v>
      </c>
      <c r="E68" t="s">
        <v>85</v>
      </c>
      <c r="F68">
        <f t="shared" si="2"/>
        <v>-31.25</v>
      </c>
    </row>
    <row r="69" spans="1:6" x14ac:dyDescent="0.25">
      <c r="A69" t="s">
        <v>84</v>
      </c>
      <c r="B69">
        <v>68</v>
      </c>
      <c r="C69">
        <f>Prices!D69-25</f>
        <v>-25</v>
      </c>
      <c r="D69">
        <v>5</v>
      </c>
      <c r="E69" t="s">
        <v>85</v>
      </c>
      <c r="F69">
        <f t="shared" si="2"/>
        <v>-31.25</v>
      </c>
    </row>
    <row r="70" spans="1:6" x14ac:dyDescent="0.25">
      <c r="A70" t="s">
        <v>84</v>
      </c>
      <c r="B70">
        <v>69</v>
      </c>
      <c r="C70">
        <f>Prices!D70-25</f>
        <v>-25</v>
      </c>
      <c r="D70">
        <v>5</v>
      </c>
      <c r="E70" t="s">
        <v>85</v>
      </c>
      <c r="F70">
        <f t="shared" si="2"/>
        <v>-31.25</v>
      </c>
    </row>
    <row r="71" spans="1:6" x14ac:dyDescent="0.25">
      <c r="A71" t="s">
        <v>84</v>
      </c>
      <c r="B71">
        <v>70</v>
      </c>
      <c r="C71">
        <f>Prices!D71-25</f>
        <v>-25</v>
      </c>
      <c r="D71">
        <v>5</v>
      </c>
      <c r="E71" t="s">
        <v>85</v>
      </c>
      <c r="F71">
        <f t="shared" si="2"/>
        <v>-31.25</v>
      </c>
    </row>
    <row r="72" spans="1:6" x14ac:dyDescent="0.25">
      <c r="A72" t="s">
        <v>84</v>
      </c>
      <c r="B72">
        <v>71</v>
      </c>
      <c r="C72">
        <f>Prices!D72-25</f>
        <v>-25</v>
      </c>
      <c r="D72">
        <v>5</v>
      </c>
      <c r="E72" t="s">
        <v>85</v>
      </c>
      <c r="F72">
        <f t="shared" si="2"/>
        <v>-31.25</v>
      </c>
    </row>
    <row r="73" spans="1:6" x14ac:dyDescent="0.25">
      <c r="A73" t="s">
        <v>84</v>
      </c>
      <c r="B73">
        <v>72</v>
      </c>
      <c r="C73">
        <f>Prices!D73-25</f>
        <v>-25</v>
      </c>
      <c r="D73">
        <v>5</v>
      </c>
      <c r="E73" t="s">
        <v>85</v>
      </c>
      <c r="F73">
        <f t="shared" si="2"/>
        <v>-31.25</v>
      </c>
    </row>
    <row r="74" spans="1:6" x14ac:dyDescent="0.25">
      <c r="A74" t="s">
        <v>84</v>
      </c>
      <c r="B74">
        <v>73</v>
      </c>
      <c r="C74">
        <f>Prices!D74-25</f>
        <v>-25</v>
      </c>
      <c r="D74">
        <v>5</v>
      </c>
      <c r="E74" t="s">
        <v>85</v>
      </c>
      <c r="F74">
        <f t="shared" si="2"/>
        <v>-31.25</v>
      </c>
    </row>
    <row r="75" spans="1:6" x14ac:dyDescent="0.25">
      <c r="A75" t="s">
        <v>84</v>
      </c>
      <c r="B75">
        <v>74</v>
      </c>
      <c r="C75">
        <f>Prices!D75-25</f>
        <v>-25</v>
      </c>
      <c r="D75">
        <v>5</v>
      </c>
      <c r="E75" t="s">
        <v>85</v>
      </c>
      <c r="F75">
        <f t="shared" si="2"/>
        <v>-31.25</v>
      </c>
    </row>
    <row r="76" spans="1:6" x14ac:dyDescent="0.25">
      <c r="A76" t="s">
        <v>84</v>
      </c>
      <c r="B76">
        <v>75</v>
      </c>
      <c r="C76">
        <f>Prices!D76-25</f>
        <v>-25</v>
      </c>
      <c r="D76">
        <v>5</v>
      </c>
      <c r="E76" t="s">
        <v>85</v>
      </c>
      <c r="F76">
        <f t="shared" si="2"/>
        <v>-31.25</v>
      </c>
    </row>
    <row r="77" spans="1:6" x14ac:dyDescent="0.25">
      <c r="A77" t="s">
        <v>84</v>
      </c>
      <c r="B77">
        <v>76</v>
      </c>
      <c r="C77">
        <f>Prices!D77-25</f>
        <v>-25</v>
      </c>
      <c r="D77">
        <v>5</v>
      </c>
      <c r="E77" t="s">
        <v>85</v>
      </c>
      <c r="F77">
        <f t="shared" si="2"/>
        <v>-31.25</v>
      </c>
    </row>
    <row r="78" spans="1:6" x14ac:dyDescent="0.25">
      <c r="A78" t="s">
        <v>84</v>
      </c>
      <c r="B78">
        <v>77</v>
      </c>
      <c r="C78">
        <f>Prices!D78-25</f>
        <v>-25</v>
      </c>
      <c r="D78">
        <v>5</v>
      </c>
      <c r="E78" t="s">
        <v>85</v>
      </c>
      <c r="F78">
        <f t="shared" si="2"/>
        <v>-31.25</v>
      </c>
    </row>
    <row r="79" spans="1:6" x14ac:dyDescent="0.25">
      <c r="A79" t="s">
        <v>84</v>
      </c>
      <c r="B79">
        <v>78</v>
      </c>
      <c r="C79">
        <f>Prices!D79-25</f>
        <v>-25</v>
      </c>
      <c r="D79">
        <v>5</v>
      </c>
      <c r="E79" t="s">
        <v>85</v>
      </c>
      <c r="F79">
        <f t="shared" si="2"/>
        <v>-31.25</v>
      </c>
    </row>
    <row r="80" spans="1:6" x14ac:dyDescent="0.25">
      <c r="A80" t="s">
        <v>84</v>
      </c>
      <c r="B80">
        <v>79</v>
      </c>
      <c r="C80">
        <f>Prices!D80-25</f>
        <v>-25</v>
      </c>
      <c r="D80">
        <v>5</v>
      </c>
      <c r="E80" t="s">
        <v>85</v>
      </c>
      <c r="F80">
        <f t="shared" si="2"/>
        <v>-31.25</v>
      </c>
    </row>
    <row r="81" spans="1:6" x14ac:dyDescent="0.25">
      <c r="A81" t="s">
        <v>84</v>
      </c>
      <c r="B81">
        <v>80</v>
      </c>
      <c r="C81">
        <f>Prices!D81-25</f>
        <v>-25</v>
      </c>
      <c r="D81">
        <v>5</v>
      </c>
      <c r="E81" t="s">
        <v>85</v>
      </c>
      <c r="F81">
        <f t="shared" si="2"/>
        <v>-31.25</v>
      </c>
    </row>
    <row r="82" spans="1:6" x14ac:dyDescent="0.25">
      <c r="A82" t="s">
        <v>84</v>
      </c>
      <c r="B82">
        <v>81</v>
      </c>
      <c r="C82">
        <f>Prices!D82-25</f>
        <v>-25</v>
      </c>
      <c r="D82">
        <v>5</v>
      </c>
      <c r="E82" t="s">
        <v>85</v>
      </c>
      <c r="F82">
        <f t="shared" si="2"/>
        <v>-31.25</v>
      </c>
    </row>
    <row r="83" spans="1:6" x14ac:dyDescent="0.25">
      <c r="A83" t="s">
        <v>84</v>
      </c>
      <c r="B83">
        <v>82</v>
      </c>
      <c r="C83">
        <f>Prices!D83-25</f>
        <v>-25</v>
      </c>
      <c r="D83">
        <v>5</v>
      </c>
      <c r="E83" t="s">
        <v>85</v>
      </c>
      <c r="F83">
        <f t="shared" si="2"/>
        <v>-31.25</v>
      </c>
    </row>
    <row r="84" spans="1:6" x14ac:dyDescent="0.25">
      <c r="A84" t="s">
        <v>84</v>
      </c>
      <c r="B84">
        <v>83</v>
      </c>
      <c r="C84">
        <f>Prices!D84-25</f>
        <v>-25</v>
      </c>
      <c r="D84">
        <v>5</v>
      </c>
      <c r="E84" t="s">
        <v>85</v>
      </c>
      <c r="F84">
        <f t="shared" si="2"/>
        <v>-31.25</v>
      </c>
    </row>
    <row r="85" spans="1:6" x14ac:dyDescent="0.25">
      <c r="A85" t="s">
        <v>84</v>
      </c>
      <c r="B85">
        <v>84</v>
      </c>
      <c r="C85">
        <f>Prices!D85-25</f>
        <v>-25</v>
      </c>
      <c r="D85">
        <v>5</v>
      </c>
      <c r="E85" t="s">
        <v>85</v>
      </c>
      <c r="F85">
        <f t="shared" si="2"/>
        <v>-31.25</v>
      </c>
    </row>
    <row r="86" spans="1:6" x14ac:dyDescent="0.25">
      <c r="A86" t="s">
        <v>84</v>
      </c>
      <c r="B86">
        <v>85</v>
      </c>
      <c r="C86">
        <f>Prices!D86-25</f>
        <v>-25</v>
      </c>
      <c r="D86">
        <v>5</v>
      </c>
      <c r="E86" t="s">
        <v>85</v>
      </c>
      <c r="F86">
        <f t="shared" si="2"/>
        <v>-31.25</v>
      </c>
    </row>
    <row r="87" spans="1:6" x14ac:dyDescent="0.25">
      <c r="A87" t="s">
        <v>84</v>
      </c>
      <c r="B87">
        <v>86</v>
      </c>
      <c r="C87">
        <f>Prices!D87-25</f>
        <v>-25</v>
      </c>
      <c r="D87">
        <v>5</v>
      </c>
      <c r="E87" t="s">
        <v>85</v>
      </c>
      <c r="F87">
        <f t="shared" si="2"/>
        <v>-31.25</v>
      </c>
    </row>
    <row r="88" spans="1:6" x14ac:dyDescent="0.25">
      <c r="A88" t="s">
        <v>84</v>
      </c>
      <c r="B88">
        <v>87</v>
      </c>
      <c r="C88">
        <f>Prices!D88-25</f>
        <v>-25</v>
      </c>
      <c r="D88">
        <v>5</v>
      </c>
      <c r="E88" t="s">
        <v>85</v>
      </c>
      <c r="F88">
        <f t="shared" si="2"/>
        <v>-31.25</v>
      </c>
    </row>
    <row r="89" spans="1:6" x14ac:dyDescent="0.25">
      <c r="A89" t="s">
        <v>84</v>
      </c>
      <c r="B89">
        <v>88</v>
      </c>
      <c r="C89">
        <f>Prices!D89-25</f>
        <v>-25</v>
      </c>
      <c r="D89">
        <v>5</v>
      </c>
      <c r="E89" t="s">
        <v>85</v>
      </c>
      <c r="F89">
        <f t="shared" si="2"/>
        <v>-31.25</v>
      </c>
    </row>
    <row r="90" spans="1:6" x14ac:dyDescent="0.25">
      <c r="A90" t="s">
        <v>84</v>
      </c>
      <c r="B90">
        <v>89</v>
      </c>
      <c r="C90">
        <f>Prices!D90-25</f>
        <v>-25</v>
      </c>
      <c r="D90">
        <v>5</v>
      </c>
      <c r="E90" t="s">
        <v>85</v>
      </c>
      <c r="F90">
        <f t="shared" si="2"/>
        <v>-31.25</v>
      </c>
    </row>
    <row r="91" spans="1:6" x14ac:dyDescent="0.25">
      <c r="A91" t="s">
        <v>84</v>
      </c>
      <c r="B91">
        <v>90</v>
      </c>
      <c r="C91">
        <f>Prices!D91-25</f>
        <v>-25</v>
      </c>
      <c r="D91">
        <v>5</v>
      </c>
      <c r="E91" t="s">
        <v>85</v>
      </c>
      <c r="F91">
        <f t="shared" si="2"/>
        <v>-31.25</v>
      </c>
    </row>
    <row r="92" spans="1:6" x14ac:dyDescent="0.25">
      <c r="A92" t="s">
        <v>84</v>
      </c>
      <c r="B92">
        <v>91</v>
      </c>
      <c r="C92">
        <f>Prices!D92-25</f>
        <v>-25</v>
      </c>
      <c r="D92">
        <v>5</v>
      </c>
      <c r="E92" t="s">
        <v>85</v>
      </c>
      <c r="F92">
        <f t="shared" si="2"/>
        <v>-31.25</v>
      </c>
    </row>
    <row r="93" spans="1:6" x14ac:dyDescent="0.25">
      <c r="A93" t="s">
        <v>84</v>
      </c>
      <c r="B93">
        <v>92</v>
      </c>
      <c r="C93">
        <f>Prices!D93-25</f>
        <v>-25</v>
      </c>
      <c r="D93">
        <v>5</v>
      </c>
      <c r="E93" t="s">
        <v>85</v>
      </c>
      <c r="F93">
        <f t="shared" si="2"/>
        <v>-31.25</v>
      </c>
    </row>
    <row r="94" spans="1:6" x14ac:dyDescent="0.25">
      <c r="A94" t="s">
        <v>84</v>
      </c>
      <c r="B94">
        <v>93</v>
      </c>
      <c r="C94">
        <f>Prices!D94-25</f>
        <v>-25</v>
      </c>
      <c r="D94">
        <v>5</v>
      </c>
      <c r="E94" t="s">
        <v>85</v>
      </c>
      <c r="F94">
        <f t="shared" si="2"/>
        <v>-31.25</v>
      </c>
    </row>
    <row r="95" spans="1:6" x14ac:dyDescent="0.25">
      <c r="A95" t="s">
        <v>84</v>
      </c>
      <c r="B95">
        <v>94</v>
      </c>
      <c r="C95">
        <f>Prices!D95-25</f>
        <v>-25</v>
      </c>
      <c r="D95">
        <v>5</v>
      </c>
      <c r="E95" t="s">
        <v>85</v>
      </c>
      <c r="F95">
        <f t="shared" si="2"/>
        <v>-31.25</v>
      </c>
    </row>
    <row r="96" spans="1:6" x14ac:dyDescent="0.25">
      <c r="A96" t="s">
        <v>84</v>
      </c>
      <c r="B96">
        <v>95</v>
      </c>
      <c r="C96">
        <f>Prices!D96-25</f>
        <v>-25</v>
      </c>
      <c r="D96">
        <v>5</v>
      </c>
      <c r="E96" t="s">
        <v>85</v>
      </c>
      <c r="F96">
        <f t="shared" si="2"/>
        <v>-31.25</v>
      </c>
    </row>
    <row r="97" spans="1:6" x14ac:dyDescent="0.25">
      <c r="A97" t="s">
        <v>84</v>
      </c>
      <c r="B97">
        <v>96</v>
      </c>
      <c r="C97">
        <f>Prices!D97-25</f>
        <v>-25</v>
      </c>
      <c r="D97">
        <v>5</v>
      </c>
      <c r="E97" t="s">
        <v>85</v>
      </c>
      <c r="F97">
        <f t="shared" si="2"/>
        <v>-31.25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F97"/>
  <sheetViews>
    <sheetView workbookViewId="0">
      <selection activeCell="K9" sqref="K9:K10"/>
    </sheetView>
  </sheetViews>
  <sheetFormatPr defaultRowHeight="15" x14ac:dyDescent="0.25"/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Prices!E2-8.5</f>
        <v>-8.5</v>
      </c>
      <c r="D2">
        <v>0</v>
      </c>
      <c r="E2" t="s">
        <v>85</v>
      </c>
      <c r="F2">
        <f t="shared" ref="F2:F33" si="0">C2*D2/4</f>
        <v>0</v>
      </c>
    </row>
    <row r="3" spans="1:6" x14ac:dyDescent="0.25">
      <c r="A3" t="s">
        <v>84</v>
      </c>
      <c r="B3">
        <v>2</v>
      </c>
      <c r="C3">
        <f>Prices!E3-8.5</f>
        <v>-8.5</v>
      </c>
      <c r="D3">
        <v>0</v>
      </c>
      <c r="E3" t="s">
        <v>85</v>
      </c>
      <c r="F3">
        <f t="shared" si="0"/>
        <v>0</v>
      </c>
    </row>
    <row r="4" spans="1:6" x14ac:dyDescent="0.25">
      <c r="A4" t="s">
        <v>84</v>
      </c>
      <c r="B4">
        <v>3</v>
      </c>
      <c r="C4">
        <f>Prices!E4-8.5</f>
        <v>-8.5</v>
      </c>
      <c r="D4">
        <v>0</v>
      </c>
      <c r="E4" t="s">
        <v>85</v>
      </c>
      <c r="F4">
        <f t="shared" si="0"/>
        <v>0</v>
      </c>
    </row>
    <row r="5" spans="1:6" x14ac:dyDescent="0.25">
      <c r="A5" t="s">
        <v>84</v>
      </c>
      <c r="B5">
        <v>4</v>
      </c>
      <c r="C5">
        <f>Prices!E5-8.5</f>
        <v>-8.5</v>
      </c>
      <c r="D5">
        <v>0</v>
      </c>
      <c r="E5" t="s">
        <v>85</v>
      </c>
      <c r="F5">
        <f t="shared" si="0"/>
        <v>0</v>
      </c>
    </row>
    <row r="6" spans="1:6" x14ac:dyDescent="0.25">
      <c r="A6" t="s">
        <v>84</v>
      </c>
      <c r="B6">
        <v>5</v>
      </c>
      <c r="C6">
        <f>Prices!E6-8.5</f>
        <v>-8.5</v>
      </c>
      <c r="D6">
        <v>0</v>
      </c>
      <c r="E6" t="s">
        <v>85</v>
      </c>
      <c r="F6">
        <f t="shared" si="0"/>
        <v>0</v>
      </c>
    </row>
    <row r="7" spans="1:6" x14ac:dyDescent="0.25">
      <c r="A7" t="s">
        <v>84</v>
      </c>
      <c r="B7">
        <v>6</v>
      </c>
      <c r="C7">
        <f>Prices!E7-8.5</f>
        <v>-8.5</v>
      </c>
      <c r="D7">
        <v>0</v>
      </c>
      <c r="E7" t="s">
        <v>85</v>
      </c>
      <c r="F7">
        <f t="shared" si="0"/>
        <v>0</v>
      </c>
    </row>
    <row r="8" spans="1:6" x14ac:dyDescent="0.25">
      <c r="A8" t="s">
        <v>84</v>
      </c>
      <c r="B8">
        <v>7</v>
      </c>
      <c r="C8">
        <f>Prices!E8-8.5</f>
        <v>-8.5</v>
      </c>
      <c r="D8">
        <v>0</v>
      </c>
      <c r="E8" t="s">
        <v>85</v>
      </c>
      <c r="F8">
        <f t="shared" si="0"/>
        <v>0</v>
      </c>
    </row>
    <row r="9" spans="1:6" x14ac:dyDescent="0.25">
      <c r="A9" t="s">
        <v>84</v>
      </c>
      <c r="B9">
        <v>8</v>
      </c>
      <c r="C9">
        <f>Prices!E9-8.5</f>
        <v>-8.5</v>
      </c>
      <c r="D9">
        <v>0</v>
      </c>
      <c r="E9" t="s">
        <v>85</v>
      </c>
      <c r="F9">
        <f t="shared" si="0"/>
        <v>0</v>
      </c>
    </row>
    <row r="10" spans="1:6" x14ac:dyDescent="0.25">
      <c r="A10" t="s">
        <v>84</v>
      </c>
      <c r="B10">
        <v>9</v>
      </c>
      <c r="C10">
        <f>Prices!E10-8.5</f>
        <v>-8.5</v>
      </c>
      <c r="D10">
        <v>0</v>
      </c>
      <c r="E10" t="s">
        <v>85</v>
      </c>
      <c r="F10">
        <f t="shared" si="0"/>
        <v>0</v>
      </c>
    </row>
    <row r="11" spans="1:6" x14ac:dyDescent="0.25">
      <c r="A11" t="s">
        <v>84</v>
      </c>
      <c r="B11">
        <v>10</v>
      </c>
      <c r="C11">
        <f>Prices!E11-8.5</f>
        <v>-8.5</v>
      </c>
      <c r="D11">
        <v>0</v>
      </c>
      <c r="E11" t="s">
        <v>85</v>
      </c>
      <c r="F11">
        <f t="shared" si="0"/>
        <v>0</v>
      </c>
    </row>
    <row r="12" spans="1:6" x14ac:dyDescent="0.25">
      <c r="A12" t="s">
        <v>84</v>
      </c>
      <c r="B12">
        <v>11</v>
      </c>
      <c r="C12">
        <f>Prices!E12-8.5</f>
        <v>-8.5</v>
      </c>
      <c r="D12">
        <v>0</v>
      </c>
      <c r="E12" t="s">
        <v>85</v>
      </c>
      <c r="F12">
        <f t="shared" si="0"/>
        <v>0</v>
      </c>
    </row>
    <row r="13" spans="1:6" x14ac:dyDescent="0.25">
      <c r="A13" t="s">
        <v>84</v>
      </c>
      <c r="B13">
        <v>12</v>
      </c>
      <c r="C13">
        <f>Prices!E13-8.5</f>
        <v>-8.5</v>
      </c>
      <c r="D13">
        <v>0</v>
      </c>
      <c r="E13" t="s">
        <v>85</v>
      </c>
      <c r="F13">
        <f t="shared" si="0"/>
        <v>0</v>
      </c>
    </row>
    <row r="14" spans="1:6" x14ac:dyDescent="0.25">
      <c r="A14" t="s">
        <v>84</v>
      </c>
      <c r="B14">
        <v>13</v>
      </c>
      <c r="C14">
        <f>Prices!E14-8.5</f>
        <v>-8.5</v>
      </c>
      <c r="D14">
        <v>0</v>
      </c>
      <c r="E14" t="s">
        <v>85</v>
      </c>
      <c r="F14">
        <f t="shared" si="0"/>
        <v>0</v>
      </c>
    </row>
    <row r="15" spans="1:6" x14ac:dyDescent="0.25">
      <c r="A15" t="s">
        <v>84</v>
      </c>
      <c r="B15">
        <v>14</v>
      </c>
      <c r="C15">
        <f>Prices!E15-8.5</f>
        <v>-8.5</v>
      </c>
      <c r="D15">
        <v>0</v>
      </c>
      <c r="E15" t="s">
        <v>85</v>
      </c>
      <c r="F15">
        <f t="shared" si="0"/>
        <v>0</v>
      </c>
    </row>
    <row r="16" spans="1:6" x14ac:dyDescent="0.25">
      <c r="A16" t="s">
        <v>84</v>
      </c>
      <c r="B16">
        <v>15</v>
      </c>
      <c r="C16">
        <f>Prices!E16-8.5</f>
        <v>-8.5</v>
      </c>
      <c r="D16">
        <v>0</v>
      </c>
      <c r="E16" t="s">
        <v>85</v>
      </c>
      <c r="F16">
        <f t="shared" si="0"/>
        <v>0</v>
      </c>
    </row>
    <row r="17" spans="1:6" x14ac:dyDescent="0.25">
      <c r="A17" t="s">
        <v>84</v>
      </c>
      <c r="B17">
        <v>16</v>
      </c>
      <c r="C17">
        <f>Prices!E17-8.5</f>
        <v>-8.5</v>
      </c>
      <c r="D17">
        <v>0</v>
      </c>
      <c r="E17" t="s">
        <v>85</v>
      </c>
      <c r="F17">
        <f t="shared" si="0"/>
        <v>0</v>
      </c>
    </row>
    <row r="18" spans="1:6" x14ac:dyDescent="0.25">
      <c r="A18" t="s">
        <v>84</v>
      </c>
      <c r="B18">
        <v>17</v>
      </c>
      <c r="C18">
        <f>Prices!E18-8.5</f>
        <v>-8.5</v>
      </c>
      <c r="D18">
        <v>0</v>
      </c>
      <c r="E18" t="s">
        <v>85</v>
      </c>
      <c r="F18">
        <f t="shared" si="0"/>
        <v>0</v>
      </c>
    </row>
    <row r="19" spans="1:6" x14ac:dyDescent="0.25">
      <c r="A19" t="s">
        <v>84</v>
      </c>
      <c r="B19">
        <v>18</v>
      </c>
      <c r="C19">
        <f>Prices!E19-8.5</f>
        <v>-8.5</v>
      </c>
      <c r="D19">
        <v>0</v>
      </c>
      <c r="E19" t="s">
        <v>85</v>
      </c>
      <c r="F19">
        <f t="shared" si="0"/>
        <v>0</v>
      </c>
    </row>
    <row r="20" spans="1:6" x14ac:dyDescent="0.25">
      <c r="A20" t="s">
        <v>84</v>
      </c>
      <c r="B20">
        <v>19</v>
      </c>
      <c r="C20">
        <f>Prices!E20-8.5</f>
        <v>-8.5</v>
      </c>
      <c r="D20">
        <v>0</v>
      </c>
      <c r="E20" t="s">
        <v>85</v>
      </c>
      <c r="F20">
        <f t="shared" si="0"/>
        <v>0</v>
      </c>
    </row>
    <row r="21" spans="1:6" x14ac:dyDescent="0.25">
      <c r="A21" t="s">
        <v>84</v>
      </c>
      <c r="B21">
        <v>20</v>
      </c>
      <c r="C21">
        <f>Prices!E21-8.5</f>
        <v>-8.5</v>
      </c>
      <c r="D21">
        <v>0</v>
      </c>
      <c r="E21" t="s">
        <v>85</v>
      </c>
      <c r="F21">
        <f t="shared" si="0"/>
        <v>0</v>
      </c>
    </row>
    <row r="22" spans="1:6" x14ac:dyDescent="0.25">
      <c r="A22" t="s">
        <v>84</v>
      </c>
      <c r="B22">
        <v>21</v>
      </c>
      <c r="C22">
        <f>Prices!E22-8.5</f>
        <v>-8.5</v>
      </c>
      <c r="D22">
        <v>0</v>
      </c>
      <c r="E22" t="s">
        <v>85</v>
      </c>
      <c r="F22">
        <f t="shared" si="0"/>
        <v>0</v>
      </c>
    </row>
    <row r="23" spans="1:6" x14ac:dyDescent="0.25">
      <c r="A23" t="s">
        <v>84</v>
      </c>
      <c r="B23">
        <v>22</v>
      </c>
      <c r="C23">
        <f>Prices!E23-8.5</f>
        <v>-8.5</v>
      </c>
      <c r="D23">
        <v>0</v>
      </c>
      <c r="E23" t="s">
        <v>85</v>
      </c>
      <c r="F23">
        <f t="shared" si="0"/>
        <v>0</v>
      </c>
    </row>
    <row r="24" spans="1:6" x14ac:dyDescent="0.25">
      <c r="A24" t="s">
        <v>84</v>
      </c>
      <c r="B24">
        <v>23</v>
      </c>
      <c r="C24">
        <f>Prices!E24-8.5</f>
        <v>-8.5</v>
      </c>
      <c r="D24">
        <v>0</v>
      </c>
      <c r="E24" t="s">
        <v>85</v>
      </c>
      <c r="F24">
        <f t="shared" si="0"/>
        <v>0</v>
      </c>
    </row>
    <row r="25" spans="1:6" x14ac:dyDescent="0.25">
      <c r="A25" t="s">
        <v>84</v>
      </c>
      <c r="B25">
        <v>24</v>
      </c>
      <c r="C25">
        <f>Prices!E25-8.5</f>
        <v>-8.5</v>
      </c>
      <c r="D25">
        <v>0</v>
      </c>
      <c r="E25" t="s">
        <v>85</v>
      </c>
      <c r="F25">
        <f t="shared" si="0"/>
        <v>0</v>
      </c>
    </row>
    <row r="26" spans="1:6" x14ac:dyDescent="0.25">
      <c r="A26" t="s">
        <v>84</v>
      </c>
      <c r="B26">
        <v>25</v>
      </c>
      <c r="C26">
        <f>Prices!E26-8.5</f>
        <v>-8.5</v>
      </c>
      <c r="D26">
        <v>0</v>
      </c>
      <c r="E26" t="s">
        <v>85</v>
      </c>
      <c r="F26">
        <f t="shared" si="0"/>
        <v>0</v>
      </c>
    </row>
    <row r="27" spans="1:6" x14ac:dyDescent="0.25">
      <c r="A27" t="s">
        <v>84</v>
      </c>
      <c r="B27">
        <v>26</v>
      </c>
      <c r="C27">
        <f>Prices!E27-8.5</f>
        <v>-8.5</v>
      </c>
      <c r="D27">
        <v>0</v>
      </c>
      <c r="E27" t="s">
        <v>85</v>
      </c>
      <c r="F27">
        <f t="shared" si="0"/>
        <v>0</v>
      </c>
    </row>
    <row r="28" spans="1:6" x14ac:dyDescent="0.25">
      <c r="A28" t="s">
        <v>84</v>
      </c>
      <c r="B28">
        <v>27</v>
      </c>
      <c r="C28">
        <f>Prices!E28-8.5</f>
        <v>-8.5</v>
      </c>
      <c r="D28">
        <v>0</v>
      </c>
      <c r="E28" t="s">
        <v>85</v>
      </c>
      <c r="F28">
        <f t="shared" si="0"/>
        <v>0</v>
      </c>
    </row>
    <row r="29" spans="1:6" x14ac:dyDescent="0.25">
      <c r="A29" t="s">
        <v>84</v>
      </c>
      <c r="B29">
        <v>28</v>
      </c>
      <c r="C29">
        <f>Prices!E29-8.5</f>
        <v>-8.5</v>
      </c>
      <c r="D29">
        <v>0</v>
      </c>
      <c r="E29" t="s">
        <v>85</v>
      </c>
      <c r="F29">
        <f t="shared" si="0"/>
        <v>0</v>
      </c>
    </row>
    <row r="30" spans="1:6" x14ac:dyDescent="0.25">
      <c r="A30" t="s">
        <v>84</v>
      </c>
      <c r="B30">
        <v>29</v>
      </c>
      <c r="C30">
        <f>Prices!E30-8.5</f>
        <v>-8.5</v>
      </c>
      <c r="D30">
        <v>0</v>
      </c>
      <c r="E30" t="s">
        <v>85</v>
      </c>
      <c r="F30">
        <f t="shared" si="0"/>
        <v>0</v>
      </c>
    </row>
    <row r="31" spans="1:6" x14ac:dyDescent="0.25">
      <c r="A31" t="s">
        <v>84</v>
      </c>
      <c r="B31">
        <v>30</v>
      </c>
      <c r="C31">
        <f>Prices!E31-8.5</f>
        <v>-8.5</v>
      </c>
      <c r="D31">
        <v>0</v>
      </c>
      <c r="E31" t="s">
        <v>85</v>
      </c>
      <c r="F31">
        <f t="shared" si="0"/>
        <v>0</v>
      </c>
    </row>
    <row r="32" spans="1:6" x14ac:dyDescent="0.25">
      <c r="A32" t="s">
        <v>84</v>
      </c>
      <c r="B32">
        <v>31</v>
      </c>
      <c r="C32">
        <f>Prices!E32-8.5</f>
        <v>-8.5</v>
      </c>
      <c r="D32">
        <v>0</v>
      </c>
      <c r="E32" t="s">
        <v>85</v>
      </c>
      <c r="F32">
        <f t="shared" si="0"/>
        <v>0</v>
      </c>
    </row>
    <row r="33" spans="1:6" x14ac:dyDescent="0.25">
      <c r="A33" t="s">
        <v>84</v>
      </c>
      <c r="B33">
        <v>32</v>
      </c>
      <c r="C33">
        <f>Prices!E33-8.5</f>
        <v>-8.5</v>
      </c>
      <c r="D33">
        <v>0</v>
      </c>
      <c r="E33" t="s">
        <v>85</v>
      </c>
      <c r="F33">
        <f t="shared" si="0"/>
        <v>0</v>
      </c>
    </row>
    <row r="34" spans="1:6" x14ac:dyDescent="0.25">
      <c r="A34" t="s">
        <v>84</v>
      </c>
      <c r="B34">
        <v>33</v>
      </c>
      <c r="C34">
        <f>Prices!E34-8.5</f>
        <v>-8.5</v>
      </c>
      <c r="D34">
        <v>0</v>
      </c>
      <c r="E34" t="s">
        <v>85</v>
      </c>
      <c r="F34">
        <f t="shared" ref="F34:F65" si="1">C34*D34/4</f>
        <v>0</v>
      </c>
    </row>
    <row r="35" spans="1:6" x14ac:dyDescent="0.25">
      <c r="A35" t="s">
        <v>84</v>
      </c>
      <c r="B35">
        <v>34</v>
      </c>
      <c r="C35">
        <f>Prices!E35-8.5</f>
        <v>-8.5</v>
      </c>
      <c r="D35">
        <v>0</v>
      </c>
      <c r="E35" t="s">
        <v>85</v>
      </c>
      <c r="F35">
        <f t="shared" si="1"/>
        <v>0</v>
      </c>
    </row>
    <row r="36" spans="1:6" x14ac:dyDescent="0.25">
      <c r="A36" t="s">
        <v>84</v>
      </c>
      <c r="B36">
        <v>35</v>
      </c>
      <c r="C36">
        <f>Prices!E36-8.5</f>
        <v>-8.5</v>
      </c>
      <c r="D36">
        <v>0</v>
      </c>
      <c r="E36" t="s">
        <v>85</v>
      </c>
      <c r="F36">
        <f t="shared" si="1"/>
        <v>0</v>
      </c>
    </row>
    <row r="37" spans="1:6" x14ac:dyDescent="0.25">
      <c r="A37" t="s">
        <v>84</v>
      </c>
      <c r="B37">
        <v>36</v>
      </c>
      <c r="C37">
        <f>Prices!E37-8.5</f>
        <v>-8.5</v>
      </c>
      <c r="D37">
        <v>0</v>
      </c>
      <c r="E37" t="s">
        <v>85</v>
      </c>
      <c r="F37">
        <f t="shared" si="1"/>
        <v>0</v>
      </c>
    </row>
    <row r="38" spans="1:6" x14ac:dyDescent="0.25">
      <c r="A38" t="s">
        <v>84</v>
      </c>
      <c r="B38">
        <v>37</v>
      </c>
      <c r="C38">
        <f>Prices!E38-8.5</f>
        <v>-8.5</v>
      </c>
      <c r="D38">
        <v>0</v>
      </c>
      <c r="E38" t="s">
        <v>85</v>
      </c>
      <c r="F38">
        <f t="shared" si="1"/>
        <v>0</v>
      </c>
    </row>
    <row r="39" spans="1:6" x14ac:dyDescent="0.25">
      <c r="A39" t="s">
        <v>84</v>
      </c>
      <c r="B39">
        <v>38</v>
      </c>
      <c r="C39">
        <f>Prices!E39-8.5</f>
        <v>-8.5</v>
      </c>
      <c r="D39">
        <v>0</v>
      </c>
      <c r="E39" t="s">
        <v>85</v>
      </c>
      <c r="F39">
        <f t="shared" si="1"/>
        <v>0</v>
      </c>
    </row>
    <row r="40" spans="1:6" x14ac:dyDescent="0.25">
      <c r="A40" t="s">
        <v>84</v>
      </c>
      <c r="B40">
        <v>39</v>
      </c>
      <c r="C40">
        <f>Prices!E40-8.5</f>
        <v>-8.5</v>
      </c>
      <c r="D40">
        <v>0</v>
      </c>
      <c r="E40" t="s">
        <v>85</v>
      </c>
      <c r="F40">
        <f t="shared" si="1"/>
        <v>0</v>
      </c>
    </row>
    <row r="41" spans="1:6" x14ac:dyDescent="0.25">
      <c r="A41" t="s">
        <v>84</v>
      </c>
      <c r="B41">
        <v>40</v>
      </c>
      <c r="C41">
        <f>Prices!E41-8.5</f>
        <v>-8.5</v>
      </c>
      <c r="D41">
        <v>0</v>
      </c>
      <c r="E41" t="s">
        <v>85</v>
      </c>
      <c r="F41">
        <f t="shared" si="1"/>
        <v>0</v>
      </c>
    </row>
    <row r="42" spans="1:6" x14ac:dyDescent="0.25">
      <c r="A42" t="s">
        <v>84</v>
      </c>
      <c r="B42">
        <v>41</v>
      </c>
      <c r="C42">
        <f>Prices!E42-8.5</f>
        <v>-8.5</v>
      </c>
      <c r="D42">
        <v>0</v>
      </c>
      <c r="E42" t="s">
        <v>85</v>
      </c>
      <c r="F42">
        <f t="shared" si="1"/>
        <v>0</v>
      </c>
    </row>
    <row r="43" spans="1:6" x14ac:dyDescent="0.25">
      <c r="A43" t="s">
        <v>84</v>
      </c>
      <c r="B43">
        <v>42</v>
      </c>
      <c r="C43">
        <f>Prices!E43-8.5</f>
        <v>-8.5</v>
      </c>
      <c r="D43">
        <v>0</v>
      </c>
      <c r="E43" t="s">
        <v>85</v>
      </c>
      <c r="F43">
        <f t="shared" si="1"/>
        <v>0</v>
      </c>
    </row>
    <row r="44" spans="1:6" x14ac:dyDescent="0.25">
      <c r="A44" t="s">
        <v>84</v>
      </c>
      <c r="B44">
        <v>43</v>
      </c>
      <c r="C44">
        <f>Prices!E44-8.5</f>
        <v>-8.5</v>
      </c>
      <c r="D44">
        <v>0</v>
      </c>
      <c r="E44" t="s">
        <v>85</v>
      </c>
      <c r="F44">
        <f t="shared" si="1"/>
        <v>0</v>
      </c>
    </row>
    <row r="45" spans="1:6" x14ac:dyDescent="0.25">
      <c r="A45" t="s">
        <v>84</v>
      </c>
      <c r="B45">
        <v>44</v>
      </c>
      <c r="C45">
        <f>Prices!E45-8.5</f>
        <v>-8.5</v>
      </c>
      <c r="D45">
        <v>0</v>
      </c>
      <c r="E45" t="s">
        <v>85</v>
      </c>
      <c r="F45">
        <f t="shared" si="1"/>
        <v>0</v>
      </c>
    </row>
    <row r="46" spans="1:6" x14ac:dyDescent="0.25">
      <c r="A46" t="s">
        <v>84</v>
      </c>
      <c r="B46">
        <v>45</v>
      </c>
      <c r="C46">
        <f>Prices!E46-8.5</f>
        <v>-8.5</v>
      </c>
      <c r="D46">
        <v>0</v>
      </c>
      <c r="E46" t="s">
        <v>85</v>
      </c>
      <c r="F46">
        <f t="shared" si="1"/>
        <v>0</v>
      </c>
    </row>
    <row r="47" spans="1:6" x14ac:dyDescent="0.25">
      <c r="A47" t="s">
        <v>84</v>
      </c>
      <c r="B47">
        <v>46</v>
      </c>
      <c r="C47">
        <f>Prices!E47-8.5</f>
        <v>-8.5</v>
      </c>
      <c r="D47">
        <v>0</v>
      </c>
      <c r="E47" t="s">
        <v>85</v>
      </c>
      <c r="F47">
        <f t="shared" si="1"/>
        <v>0</v>
      </c>
    </row>
    <row r="48" spans="1:6" x14ac:dyDescent="0.25">
      <c r="A48" t="s">
        <v>84</v>
      </c>
      <c r="B48">
        <v>47</v>
      </c>
      <c r="C48">
        <f>Prices!E48-8.5</f>
        <v>-8.5</v>
      </c>
      <c r="D48">
        <v>0</v>
      </c>
      <c r="E48" t="s">
        <v>85</v>
      </c>
      <c r="F48">
        <f t="shared" si="1"/>
        <v>0</v>
      </c>
    </row>
    <row r="49" spans="1:6" x14ac:dyDescent="0.25">
      <c r="A49" t="s">
        <v>84</v>
      </c>
      <c r="B49">
        <v>48</v>
      </c>
      <c r="C49">
        <f>Prices!E49-8.5</f>
        <v>-8.5</v>
      </c>
      <c r="D49">
        <v>0</v>
      </c>
      <c r="E49" t="s">
        <v>85</v>
      </c>
      <c r="F49">
        <f t="shared" si="1"/>
        <v>0</v>
      </c>
    </row>
    <row r="50" spans="1:6" x14ac:dyDescent="0.25">
      <c r="A50" t="s">
        <v>84</v>
      </c>
      <c r="B50">
        <v>49</v>
      </c>
      <c r="C50">
        <f>Prices!E50-8.5</f>
        <v>-8.5</v>
      </c>
      <c r="D50">
        <v>0</v>
      </c>
      <c r="E50" t="s">
        <v>85</v>
      </c>
      <c r="F50">
        <f t="shared" si="1"/>
        <v>0</v>
      </c>
    </row>
    <row r="51" spans="1:6" x14ac:dyDescent="0.25">
      <c r="A51" t="s">
        <v>84</v>
      </c>
      <c r="B51">
        <v>50</v>
      </c>
      <c r="C51">
        <f>Prices!E51-8.5</f>
        <v>-8.5</v>
      </c>
      <c r="D51">
        <v>0</v>
      </c>
      <c r="E51" t="s">
        <v>85</v>
      </c>
      <c r="F51">
        <f t="shared" si="1"/>
        <v>0</v>
      </c>
    </row>
    <row r="52" spans="1:6" x14ac:dyDescent="0.25">
      <c r="A52" t="s">
        <v>84</v>
      </c>
      <c r="B52">
        <v>51</v>
      </c>
      <c r="C52">
        <f>Prices!E52-8.5</f>
        <v>-8.5</v>
      </c>
      <c r="D52">
        <v>0</v>
      </c>
      <c r="E52" t="s">
        <v>85</v>
      </c>
      <c r="F52">
        <f t="shared" si="1"/>
        <v>0</v>
      </c>
    </row>
    <row r="53" spans="1:6" x14ac:dyDescent="0.25">
      <c r="A53" t="s">
        <v>84</v>
      </c>
      <c r="B53">
        <v>52</v>
      </c>
      <c r="C53">
        <f>Prices!E53-8.5</f>
        <v>-8.5</v>
      </c>
      <c r="D53">
        <v>0</v>
      </c>
      <c r="E53" t="s">
        <v>85</v>
      </c>
      <c r="F53">
        <f t="shared" si="1"/>
        <v>0</v>
      </c>
    </row>
    <row r="54" spans="1:6" x14ac:dyDescent="0.25">
      <c r="A54" t="s">
        <v>84</v>
      </c>
      <c r="B54">
        <v>53</v>
      </c>
      <c r="C54">
        <f>Prices!E54-8.5</f>
        <v>-8.5</v>
      </c>
      <c r="D54">
        <v>0</v>
      </c>
      <c r="E54" t="s">
        <v>85</v>
      </c>
      <c r="F54">
        <f t="shared" si="1"/>
        <v>0</v>
      </c>
    </row>
    <row r="55" spans="1:6" x14ac:dyDescent="0.25">
      <c r="A55" t="s">
        <v>84</v>
      </c>
      <c r="B55">
        <v>54</v>
      </c>
      <c r="C55">
        <f>Prices!E55-8.5</f>
        <v>-8.5</v>
      </c>
      <c r="D55">
        <v>0</v>
      </c>
      <c r="E55" t="s">
        <v>85</v>
      </c>
      <c r="F55">
        <f t="shared" si="1"/>
        <v>0</v>
      </c>
    </row>
    <row r="56" spans="1:6" x14ac:dyDescent="0.25">
      <c r="A56" t="s">
        <v>84</v>
      </c>
      <c r="B56">
        <v>55</v>
      </c>
      <c r="C56">
        <f>Prices!E56-8.5</f>
        <v>-8.5</v>
      </c>
      <c r="D56">
        <v>0</v>
      </c>
      <c r="E56" t="s">
        <v>85</v>
      </c>
      <c r="F56">
        <f t="shared" si="1"/>
        <v>0</v>
      </c>
    </row>
    <row r="57" spans="1:6" x14ac:dyDescent="0.25">
      <c r="A57" t="s">
        <v>84</v>
      </c>
      <c r="B57">
        <v>56</v>
      </c>
      <c r="C57">
        <f>Prices!E57-8.5</f>
        <v>-8.5</v>
      </c>
      <c r="D57">
        <v>0</v>
      </c>
      <c r="E57" t="s">
        <v>85</v>
      </c>
      <c r="F57">
        <f t="shared" si="1"/>
        <v>0</v>
      </c>
    </row>
    <row r="58" spans="1:6" x14ac:dyDescent="0.25">
      <c r="A58" t="s">
        <v>84</v>
      </c>
      <c r="B58">
        <v>57</v>
      </c>
      <c r="C58">
        <f>Prices!E58-8.5</f>
        <v>-8.5</v>
      </c>
      <c r="D58">
        <v>0</v>
      </c>
      <c r="E58" t="s">
        <v>85</v>
      </c>
      <c r="F58">
        <f t="shared" si="1"/>
        <v>0</v>
      </c>
    </row>
    <row r="59" spans="1:6" x14ac:dyDescent="0.25">
      <c r="A59" t="s">
        <v>84</v>
      </c>
      <c r="B59">
        <v>58</v>
      </c>
      <c r="C59">
        <f>Prices!E59-8.5</f>
        <v>-8.5</v>
      </c>
      <c r="D59">
        <v>0</v>
      </c>
      <c r="E59" t="s">
        <v>85</v>
      </c>
      <c r="F59">
        <f t="shared" si="1"/>
        <v>0</v>
      </c>
    </row>
    <row r="60" spans="1:6" x14ac:dyDescent="0.25">
      <c r="A60" t="s">
        <v>84</v>
      </c>
      <c r="B60">
        <v>59</v>
      </c>
      <c r="C60">
        <f>Prices!E60-8.5</f>
        <v>-8.5</v>
      </c>
      <c r="D60">
        <v>0</v>
      </c>
      <c r="E60" t="s">
        <v>85</v>
      </c>
      <c r="F60">
        <f t="shared" si="1"/>
        <v>0</v>
      </c>
    </row>
    <row r="61" spans="1:6" x14ac:dyDescent="0.25">
      <c r="A61" t="s">
        <v>84</v>
      </c>
      <c r="B61">
        <v>60</v>
      </c>
      <c r="C61">
        <f>Prices!E61-8.5</f>
        <v>-8.5</v>
      </c>
      <c r="D61">
        <v>0</v>
      </c>
      <c r="E61" t="s">
        <v>85</v>
      </c>
      <c r="F61">
        <f t="shared" si="1"/>
        <v>0</v>
      </c>
    </row>
    <row r="62" spans="1:6" x14ac:dyDescent="0.25">
      <c r="A62" t="s">
        <v>84</v>
      </c>
      <c r="B62">
        <v>61</v>
      </c>
      <c r="C62">
        <f>Prices!E62-8.5</f>
        <v>-8.5</v>
      </c>
      <c r="D62">
        <v>0</v>
      </c>
      <c r="E62" t="s">
        <v>85</v>
      </c>
      <c r="F62">
        <f t="shared" si="1"/>
        <v>0</v>
      </c>
    </row>
    <row r="63" spans="1:6" x14ac:dyDescent="0.25">
      <c r="A63" t="s">
        <v>84</v>
      </c>
      <c r="B63">
        <v>62</v>
      </c>
      <c r="C63">
        <f>Prices!E63-8.5</f>
        <v>-8.5</v>
      </c>
      <c r="D63">
        <v>0</v>
      </c>
      <c r="E63" t="s">
        <v>85</v>
      </c>
      <c r="F63">
        <f t="shared" si="1"/>
        <v>0</v>
      </c>
    </row>
    <row r="64" spans="1:6" x14ac:dyDescent="0.25">
      <c r="A64" t="s">
        <v>84</v>
      </c>
      <c r="B64">
        <v>63</v>
      </c>
      <c r="C64">
        <f>Prices!E64-8.5</f>
        <v>-8.5</v>
      </c>
      <c r="D64">
        <v>0</v>
      </c>
      <c r="E64" t="s">
        <v>85</v>
      </c>
      <c r="F64">
        <f t="shared" si="1"/>
        <v>0</v>
      </c>
    </row>
    <row r="65" spans="1:6" x14ac:dyDescent="0.25">
      <c r="A65" t="s">
        <v>84</v>
      </c>
      <c r="B65">
        <v>64</v>
      </c>
      <c r="C65">
        <f>Prices!E65-8.5</f>
        <v>-8.5</v>
      </c>
      <c r="D65">
        <v>0</v>
      </c>
      <c r="E65" t="s">
        <v>85</v>
      </c>
      <c r="F65">
        <f t="shared" si="1"/>
        <v>0</v>
      </c>
    </row>
    <row r="66" spans="1:6" x14ac:dyDescent="0.25">
      <c r="A66" t="s">
        <v>84</v>
      </c>
      <c r="B66">
        <v>65</v>
      </c>
      <c r="C66">
        <f>Prices!E66-8.5</f>
        <v>-8.5</v>
      </c>
      <c r="D66">
        <v>0</v>
      </c>
      <c r="E66" t="s">
        <v>85</v>
      </c>
      <c r="F66">
        <f t="shared" ref="F66:F97" si="2">C66*D66/4</f>
        <v>0</v>
      </c>
    </row>
    <row r="67" spans="1:6" x14ac:dyDescent="0.25">
      <c r="A67" t="s">
        <v>84</v>
      </c>
      <c r="B67">
        <v>66</v>
      </c>
      <c r="C67">
        <f>Prices!E67-8.5</f>
        <v>-8.5</v>
      </c>
      <c r="D67">
        <v>0</v>
      </c>
      <c r="E67" t="s">
        <v>85</v>
      </c>
      <c r="F67">
        <f t="shared" si="2"/>
        <v>0</v>
      </c>
    </row>
    <row r="68" spans="1:6" x14ac:dyDescent="0.25">
      <c r="A68" t="s">
        <v>84</v>
      </c>
      <c r="B68">
        <v>67</v>
      </c>
      <c r="C68">
        <f>Prices!E68-8.5</f>
        <v>-8.5</v>
      </c>
      <c r="D68">
        <v>0</v>
      </c>
      <c r="E68" t="s">
        <v>85</v>
      </c>
      <c r="F68">
        <f t="shared" si="2"/>
        <v>0</v>
      </c>
    </row>
    <row r="69" spans="1:6" x14ac:dyDescent="0.25">
      <c r="A69" t="s">
        <v>84</v>
      </c>
      <c r="B69">
        <v>68</v>
      </c>
      <c r="C69">
        <f>Prices!E69-8.5</f>
        <v>-8.5</v>
      </c>
      <c r="D69">
        <v>0</v>
      </c>
      <c r="E69" t="s">
        <v>85</v>
      </c>
      <c r="F69">
        <f t="shared" si="2"/>
        <v>0</v>
      </c>
    </row>
    <row r="70" spans="1:6" x14ac:dyDescent="0.25">
      <c r="A70" t="s">
        <v>84</v>
      </c>
      <c r="B70">
        <v>69</v>
      </c>
      <c r="C70">
        <f>Prices!E70-8.5</f>
        <v>-8.5</v>
      </c>
      <c r="D70">
        <v>0</v>
      </c>
      <c r="E70" t="s">
        <v>85</v>
      </c>
      <c r="F70">
        <f t="shared" si="2"/>
        <v>0</v>
      </c>
    </row>
    <row r="71" spans="1:6" x14ac:dyDescent="0.25">
      <c r="A71" t="s">
        <v>84</v>
      </c>
      <c r="B71">
        <v>70</v>
      </c>
      <c r="C71">
        <f>Prices!E71-8.5</f>
        <v>-8.5</v>
      </c>
      <c r="D71">
        <v>0</v>
      </c>
      <c r="E71" t="s">
        <v>85</v>
      </c>
      <c r="F71">
        <f t="shared" si="2"/>
        <v>0</v>
      </c>
    </row>
    <row r="72" spans="1:6" x14ac:dyDescent="0.25">
      <c r="A72" t="s">
        <v>84</v>
      </c>
      <c r="B72">
        <v>71</v>
      </c>
      <c r="C72">
        <f>Prices!E72-8.5</f>
        <v>-8.5</v>
      </c>
      <c r="D72">
        <v>0</v>
      </c>
      <c r="E72" t="s">
        <v>85</v>
      </c>
      <c r="F72">
        <f t="shared" si="2"/>
        <v>0</v>
      </c>
    </row>
    <row r="73" spans="1:6" x14ac:dyDescent="0.25">
      <c r="A73" t="s">
        <v>84</v>
      </c>
      <c r="B73">
        <v>72</v>
      </c>
      <c r="C73">
        <f>Prices!E73-8.5</f>
        <v>-8.5</v>
      </c>
      <c r="D73">
        <v>0</v>
      </c>
      <c r="E73" t="s">
        <v>85</v>
      </c>
      <c r="F73">
        <f t="shared" si="2"/>
        <v>0</v>
      </c>
    </row>
    <row r="74" spans="1:6" x14ac:dyDescent="0.25">
      <c r="A74" t="s">
        <v>84</v>
      </c>
      <c r="B74">
        <v>73</v>
      </c>
      <c r="C74">
        <f>Prices!E74-8.5</f>
        <v>-8.5</v>
      </c>
      <c r="D74">
        <v>0</v>
      </c>
      <c r="E74" t="s">
        <v>85</v>
      </c>
      <c r="F74">
        <f t="shared" si="2"/>
        <v>0</v>
      </c>
    </row>
    <row r="75" spans="1:6" x14ac:dyDescent="0.25">
      <c r="A75" t="s">
        <v>84</v>
      </c>
      <c r="B75">
        <v>74</v>
      </c>
      <c r="C75">
        <f>Prices!E75-8.5</f>
        <v>-8.5</v>
      </c>
      <c r="D75">
        <v>0</v>
      </c>
      <c r="E75" t="s">
        <v>85</v>
      </c>
      <c r="F75">
        <f t="shared" si="2"/>
        <v>0</v>
      </c>
    </row>
    <row r="76" spans="1:6" x14ac:dyDescent="0.25">
      <c r="A76" t="s">
        <v>84</v>
      </c>
      <c r="B76">
        <v>75</v>
      </c>
      <c r="C76">
        <f>Prices!E76-8.5</f>
        <v>-8.5</v>
      </c>
      <c r="D76">
        <v>0</v>
      </c>
      <c r="E76" t="s">
        <v>85</v>
      </c>
      <c r="F76">
        <f t="shared" si="2"/>
        <v>0</v>
      </c>
    </row>
    <row r="77" spans="1:6" x14ac:dyDescent="0.25">
      <c r="A77" t="s">
        <v>84</v>
      </c>
      <c r="B77">
        <v>76</v>
      </c>
      <c r="C77">
        <f>Prices!E77-8.5</f>
        <v>-8.5</v>
      </c>
      <c r="D77">
        <v>0</v>
      </c>
      <c r="E77" t="s">
        <v>85</v>
      </c>
      <c r="F77">
        <f t="shared" si="2"/>
        <v>0</v>
      </c>
    </row>
    <row r="78" spans="1:6" x14ac:dyDescent="0.25">
      <c r="A78" t="s">
        <v>84</v>
      </c>
      <c r="B78">
        <v>77</v>
      </c>
      <c r="C78">
        <f>Prices!E78-8.5</f>
        <v>-8.5</v>
      </c>
      <c r="D78">
        <v>0</v>
      </c>
      <c r="E78" t="s">
        <v>85</v>
      </c>
      <c r="F78">
        <f t="shared" si="2"/>
        <v>0</v>
      </c>
    </row>
    <row r="79" spans="1:6" x14ac:dyDescent="0.25">
      <c r="A79" t="s">
        <v>84</v>
      </c>
      <c r="B79">
        <v>78</v>
      </c>
      <c r="C79">
        <f>Prices!E79-8.5</f>
        <v>-8.5</v>
      </c>
      <c r="D79">
        <v>0</v>
      </c>
      <c r="E79" t="s">
        <v>85</v>
      </c>
      <c r="F79">
        <f t="shared" si="2"/>
        <v>0</v>
      </c>
    </row>
    <row r="80" spans="1:6" x14ac:dyDescent="0.25">
      <c r="A80" t="s">
        <v>84</v>
      </c>
      <c r="B80">
        <v>79</v>
      </c>
      <c r="C80">
        <f>Prices!E80-8.5</f>
        <v>-8.5</v>
      </c>
      <c r="D80">
        <v>0</v>
      </c>
      <c r="E80" t="s">
        <v>85</v>
      </c>
      <c r="F80">
        <f t="shared" si="2"/>
        <v>0</v>
      </c>
    </row>
    <row r="81" spans="1:6" x14ac:dyDescent="0.25">
      <c r="A81" t="s">
        <v>84</v>
      </c>
      <c r="B81">
        <v>80</v>
      </c>
      <c r="C81">
        <f>Prices!E81-8.5</f>
        <v>-8.5</v>
      </c>
      <c r="D81">
        <v>0</v>
      </c>
      <c r="E81" t="s">
        <v>85</v>
      </c>
      <c r="F81">
        <f t="shared" si="2"/>
        <v>0</v>
      </c>
    </row>
    <row r="82" spans="1:6" x14ac:dyDescent="0.25">
      <c r="A82" t="s">
        <v>84</v>
      </c>
      <c r="B82">
        <v>81</v>
      </c>
      <c r="C82">
        <f>Prices!E82-8.5</f>
        <v>-8.5</v>
      </c>
      <c r="D82">
        <v>0</v>
      </c>
      <c r="E82" t="s">
        <v>85</v>
      </c>
      <c r="F82">
        <f t="shared" si="2"/>
        <v>0</v>
      </c>
    </row>
    <row r="83" spans="1:6" x14ac:dyDescent="0.25">
      <c r="A83" t="s">
        <v>84</v>
      </c>
      <c r="B83">
        <v>82</v>
      </c>
      <c r="C83">
        <f>Prices!E83-8.5</f>
        <v>-8.5</v>
      </c>
      <c r="D83">
        <v>0</v>
      </c>
      <c r="E83" t="s">
        <v>85</v>
      </c>
      <c r="F83">
        <f t="shared" si="2"/>
        <v>0</v>
      </c>
    </row>
    <row r="84" spans="1:6" x14ac:dyDescent="0.25">
      <c r="A84" t="s">
        <v>84</v>
      </c>
      <c r="B84">
        <v>83</v>
      </c>
      <c r="C84">
        <f>Prices!E84-8.5</f>
        <v>-8.5</v>
      </c>
      <c r="D84">
        <v>0</v>
      </c>
      <c r="E84" t="s">
        <v>85</v>
      </c>
      <c r="F84">
        <f t="shared" si="2"/>
        <v>0</v>
      </c>
    </row>
    <row r="85" spans="1:6" x14ac:dyDescent="0.25">
      <c r="A85" t="s">
        <v>84</v>
      </c>
      <c r="B85">
        <v>84</v>
      </c>
      <c r="C85">
        <f>Prices!E85-8.5</f>
        <v>-8.5</v>
      </c>
      <c r="D85">
        <v>0</v>
      </c>
      <c r="E85" t="s">
        <v>85</v>
      </c>
      <c r="F85">
        <f t="shared" si="2"/>
        <v>0</v>
      </c>
    </row>
    <row r="86" spans="1:6" x14ac:dyDescent="0.25">
      <c r="A86" t="s">
        <v>84</v>
      </c>
      <c r="B86">
        <v>85</v>
      </c>
      <c r="C86">
        <f>Prices!E86-8.5</f>
        <v>-8.5</v>
      </c>
      <c r="D86">
        <v>0</v>
      </c>
      <c r="E86" t="s">
        <v>85</v>
      </c>
      <c r="F86">
        <f t="shared" si="2"/>
        <v>0</v>
      </c>
    </row>
    <row r="87" spans="1:6" x14ac:dyDescent="0.25">
      <c r="A87" t="s">
        <v>84</v>
      </c>
      <c r="B87">
        <v>86</v>
      </c>
      <c r="C87">
        <f>Prices!E87-8.5</f>
        <v>-8.5</v>
      </c>
      <c r="D87">
        <v>0</v>
      </c>
      <c r="E87" t="s">
        <v>85</v>
      </c>
      <c r="F87">
        <f t="shared" si="2"/>
        <v>0</v>
      </c>
    </row>
    <row r="88" spans="1:6" x14ac:dyDescent="0.25">
      <c r="A88" t="s">
        <v>84</v>
      </c>
      <c r="B88">
        <v>87</v>
      </c>
      <c r="C88">
        <f>Prices!E88-8.5</f>
        <v>-8.5</v>
      </c>
      <c r="D88">
        <v>0</v>
      </c>
      <c r="E88" t="s">
        <v>85</v>
      </c>
      <c r="F88">
        <f t="shared" si="2"/>
        <v>0</v>
      </c>
    </row>
    <row r="89" spans="1:6" x14ac:dyDescent="0.25">
      <c r="A89" t="s">
        <v>84</v>
      </c>
      <c r="B89">
        <v>88</v>
      </c>
      <c r="C89">
        <f>Prices!E89-8.5</f>
        <v>-8.5</v>
      </c>
      <c r="D89">
        <v>0</v>
      </c>
      <c r="E89" t="s">
        <v>85</v>
      </c>
      <c r="F89">
        <f t="shared" si="2"/>
        <v>0</v>
      </c>
    </row>
    <row r="90" spans="1:6" x14ac:dyDescent="0.25">
      <c r="A90" t="s">
        <v>84</v>
      </c>
      <c r="B90">
        <v>89</v>
      </c>
      <c r="C90">
        <f>Prices!E90-8.5</f>
        <v>-8.5</v>
      </c>
      <c r="D90">
        <v>0</v>
      </c>
      <c r="E90" t="s">
        <v>85</v>
      </c>
      <c r="F90">
        <f t="shared" si="2"/>
        <v>0</v>
      </c>
    </row>
    <row r="91" spans="1:6" x14ac:dyDescent="0.25">
      <c r="A91" t="s">
        <v>84</v>
      </c>
      <c r="B91">
        <v>90</v>
      </c>
      <c r="C91">
        <f>Prices!E91-8.5</f>
        <v>-8.5</v>
      </c>
      <c r="D91">
        <v>0</v>
      </c>
      <c r="E91" t="s">
        <v>85</v>
      </c>
      <c r="F91">
        <f t="shared" si="2"/>
        <v>0</v>
      </c>
    </row>
    <row r="92" spans="1:6" x14ac:dyDescent="0.25">
      <c r="A92" t="s">
        <v>84</v>
      </c>
      <c r="B92">
        <v>91</v>
      </c>
      <c r="C92">
        <f>Prices!E92-8.5</f>
        <v>-8.5</v>
      </c>
      <c r="D92">
        <v>0</v>
      </c>
      <c r="E92" t="s">
        <v>85</v>
      </c>
      <c r="F92">
        <f t="shared" si="2"/>
        <v>0</v>
      </c>
    </row>
    <row r="93" spans="1:6" x14ac:dyDescent="0.25">
      <c r="A93" t="s">
        <v>84</v>
      </c>
      <c r="B93">
        <v>92</v>
      </c>
      <c r="C93">
        <f>Prices!E93-8.5</f>
        <v>-8.5</v>
      </c>
      <c r="D93">
        <v>0</v>
      </c>
      <c r="E93" t="s">
        <v>85</v>
      </c>
      <c r="F93">
        <f t="shared" si="2"/>
        <v>0</v>
      </c>
    </row>
    <row r="94" spans="1:6" x14ac:dyDescent="0.25">
      <c r="A94" t="s">
        <v>84</v>
      </c>
      <c r="B94">
        <v>93</v>
      </c>
      <c r="C94">
        <f>Prices!E94-8.5</f>
        <v>-8.5</v>
      </c>
      <c r="D94">
        <v>0</v>
      </c>
      <c r="E94" t="s">
        <v>85</v>
      </c>
      <c r="F94">
        <f t="shared" si="2"/>
        <v>0</v>
      </c>
    </row>
    <row r="95" spans="1:6" x14ac:dyDescent="0.25">
      <c r="A95" t="s">
        <v>84</v>
      </c>
      <c r="B95">
        <v>94</v>
      </c>
      <c r="C95">
        <f>Prices!E95-8.5</f>
        <v>-8.5</v>
      </c>
      <c r="D95">
        <v>0</v>
      </c>
      <c r="E95" t="s">
        <v>85</v>
      </c>
      <c r="F95">
        <f t="shared" si="2"/>
        <v>0</v>
      </c>
    </row>
    <row r="96" spans="1:6" x14ac:dyDescent="0.25">
      <c r="A96" t="s">
        <v>84</v>
      </c>
      <c r="B96">
        <v>95</v>
      </c>
      <c r="C96">
        <f>Prices!E96-8.5</f>
        <v>-8.5</v>
      </c>
      <c r="D96">
        <v>0</v>
      </c>
      <c r="E96" t="s">
        <v>85</v>
      </c>
      <c r="F96">
        <f t="shared" si="2"/>
        <v>0</v>
      </c>
    </row>
    <row r="97" spans="1:6" x14ac:dyDescent="0.25">
      <c r="A97" t="s">
        <v>84</v>
      </c>
      <c r="B97">
        <v>96</v>
      </c>
      <c r="C97">
        <f>Prices!E97-8.5</f>
        <v>-8.5</v>
      </c>
      <c r="D97">
        <v>0</v>
      </c>
      <c r="E97" t="s">
        <v>85</v>
      </c>
      <c r="F97">
        <f t="shared" si="2"/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F97"/>
  <sheetViews>
    <sheetView workbookViewId="0">
      <selection activeCell="L9" sqref="L9"/>
    </sheetView>
  </sheetViews>
  <sheetFormatPr defaultRowHeight="15" x14ac:dyDescent="0.25"/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Prices!E2-13</f>
        <v>-13</v>
      </c>
      <c r="D2">
        <v>0</v>
      </c>
      <c r="E2" t="s">
        <v>85</v>
      </c>
      <c r="F2">
        <f t="shared" ref="F2:F33" si="0">C2*D2/4</f>
        <v>0</v>
      </c>
    </row>
    <row r="3" spans="1:6" x14ac:dyDescent="0.25">
      <c r="A3" t="s">
        <v>84</v>
      </c>
      <c r="B3">
        <v>2</v>
      </c>
      <c r="C3">
        <f>Prices!E3-13</f>
        <v>-13</v>
      </c>
      <c r="D3">
        <v>0</v>
      </c>
      <c r="E3" t="s">
        <v>85</v>
      </c>
      <c r="F3">
        <f t="shared" si="0"/>
        <v>0</v>
      </c>
    </row>
    <row r="4" spans="1:6" x14ac:dyDescent="0.25">
      <c r="A4" t="s">
        <v>84</v>
      </c>
      <c r="B4">
        <v>3</v>
      </c>
      <c r="C4">
        <f>Prices!E4-13</f>
        <v>-13</v>
      </c>
      <c r="D4">
        <v>0</v>
      </c>
      <c r="E4" t="s">
        <v>85</v>
      </c>
      <c r="F4">
        <f t="shared" si="0"/>
        <v>0</v>
      </c>
    </row>
    <row r="5" spans="1:6" x14ac:dyDescent="0.25">
      <c r="A5" t="s">
        <v>84</v>
      </c>
      <c r="B5">
        <v>4</v>
      </c>
      <c r="C5">
        <f>Prices!E5-13</f>
        <v>-13</v>
      </c>
      <c r="D5">
        <v>0</v>
      </c>
      <c r="E5" t="s">
        <v>85</v>
      </c>
      <c r="F5">
        <f t="shared" si="0"/>
        <v>0</v>
      </c>
    </row>
    <row r="6" spans="1:6" x14ac:dyDescent="0.25">
      <c r="A6" t="s">
        <v>84</v>
      </c>
      <c r="B6">
        <v>5</v>
      </c>
      <c r="C6">
        <f>Prices!E6-13</f>
        <v>-13</v>
      </c>
      <c r="D6">
        <v>0</v>
      </c>
      <c r="E6" t="s">
        <v>85</v>
      </c>
      <c r="F6">
        <f t="shared" si="0"/>
        <v>0</v>
      </c>
    </row>
    <row r="7" spans="1:6" x14ac:dyDescent="0.25">
      <c r="A7" t="s">
        <v>84</v>
      </c>
      <c r="B7">
        <v>6</v>
      </c>
      <c r="C7">
        <f>Prices!E7-13</f>
        <v>-13</v>
      </c>
      <c r="D7">
        <v>0</v>
      </c>
      <c r="E7" t="s">
        <v>85</v>
      </c>
      <c r="F7">
        <f t="shared" si="0"/>
        <v>0</v>
      </c>
    </row>
    <row r="8" spans="1:6" x14ac:dyDescent="0.25">
      <c r="A8" t="s">
        <v>84</v>
      </c>
      <c r="B8">
        <v>7</v>
      </c>
      <c r="C8">
        <f>Prices!E8-13</f>
        <v>-13</v>
      </c>
      <c r="D8">
        <v>0</v>
      </c>
      <c r="E8" t="s">
        <v>85</v>
      </c>
      <c r="F8">
        <f t="shared" si="0"/>
        <v>0</v>
      </c>
    </row>
    <row r="9" spans="1:6" x14ac:dyDescent="0.25">
      <c r="A9" t="s">
        <v>84</v>
      </c>
      <c r="B9">
        <v>8</v>
      </c>
      <c r="C9">
        <f>Prices!E9-13</f>
        <v>-13</v>
      </c>
      <c r="D9">
        <v>0</v>
      </c>
      <c r="E9" t="s">
        <v>85</v>
      </c>
      <c r="F9">
        <f t="shared" si="0"/>
        <v>0</v>
      </c>
    </row>
    <row r="10" spans="1:6" x14ac:dyDescent="0.25">
      <c r="A10" t="s">
        <v>84</v>
      </c>
      <c r="B10">
        <v>9</v>
      </c>
      <c r="C10">
        <f>Prices!E10-13</f>
        <v>-13</v>
      </c>
      <c r="D10">
        <v>0</v>
      </c>
      <c r="E10" t="s">
        <v>85</v>
      </c>
      <c r="F10">
        <f t="shared" si="0"/>
        <v>0</v>
      </c>
    </row>
    <row r="11" spans="1:6" x14ac:dyDescent="0.25">
      <c r="A11" t="s">
        <v>84</v>
      </c>
      <c r="B11">
        <v>10</v>
      </c>
      <c r="C11">
        <f>Prices!E11-13</f>
        <v>-13</v>
      </c>
      <c r="D11">
        <v>0</v>
      </c>
      <c r="E11" t="s">
        <v>85</v>
      </c>
      <c r="F11">
        <f t="shared" si="0"/>
        <v>0</v>
      </c>
    </row>
    <row r="12" spans="1:6" x14ac:dyDescent="0.25">
      <c r="A12" t="s">
        <v>84</v>
      </c>
      <c r="B12">
        <v>11</v>
      </c>
      <c r="C12">
        <f>Prices!E12-13</f>
        <v>-13</v>
      </c>
      <c r="D12">
        <v>0</v>
      </c>
      <c r="E12" t="s">
        <v>85</v>
      </c>
      <c r="F12">
        <f t="shared" si="0"/>
        <v>0</v>
      </c>
    </row>
    <row r="13" spans="1:6" x14ac:dyDescent="0.25">
      <c r="A13" t="s">
        <v>84</v>
      </c>
      <c r="B13">
        <v>12</v>
      </c>
      <c r="C13">
        <f>Prices!E13-13</f>
        <v>-13</v>
      </c>
      <c r="D13">
        <v>0</v>
      </c>
      <c r="E13" t="s">
        <v>85</v>
      </c>
      <c r="F13">
        <f t="shared" si="0"/>
        <v>0</v>
      </c>
    </row>
    <row r="14" spans="1:6" x14ac:dyDescent="0.25">
      <c r="A14" t="s">
        <v>84</v>
      </c>
      <c r="B14">
        <v>13</v>
      </c>
      <c r="C14">
        <f>Prices!E14-13</f>
        <v>-13</v>
      </c>
      <c r="D14">
        <v>0</v>
      </c>
      <c r="E14" t="s">
        <v>85</v>
      </c>
      <c r="F14">
        <f t="shared" si="0"/>
        <v>0</v>
      </c>
    </row>
    <row r="15" spans="1:6" x14ac:dyDescent="0.25">
      <c r="A15" t="s">
        <v>84</v>
      </c>
      <c r="B15">
        <v>14</v>
      </c>
      <c r="C15">
        <f>Prices!E15-13</f>
        <v>-13</v>
      </c>
      <c r="D15">
        <v>0</v>
      </c>
      <c r="E15" t="s">
        <v>85</v>
      </c>
      <c r="F15">
        <f t="shared" si="0"/>
        <v>0</v>
      </c>
    </row>
    <row r="16" spans="1:6" x14ac:dyDescent="0.25">
      <c r="A16" t="s">
        <v>84</v>
      </c>
      <c r="B16">
        <v>15</v>
      </c>
      <c r="C16">
        <f>Prices!E16-13</f>
        <v>-13</v>
      </c>
      <c r="D16">
        <v>0</v>
      </c>
      <c r="E16" t="s">
        <v>85</v>
      </c>
      <c r="F16">
        <f t="shared" si="0"/>
        <v>0</v>
      </c>
    </row>
    <row r="17" spans="1:6" x14ac:dyDescent="0.25">
      <c r="A17" t="s">
        <v>84</v>
      </c>
      <c r="B17">
        <v>16</v>
      </c>
      <c r="C17">
        <f>Prices!E17-13</f>
        <v>-13</v>
      </c>
      <c r="D17">
        <v>0</v>
      </c>
      <c r="E17" t="s">
        <v>85</v>
      </c>
      <c r="F17">
        <f t="shared" si="0"/>
        <v>0</v>
      </c>
    </row>
    <row r="18" spans="1:6" x14ac:dyDescent="0.25">
      <c r="A18" t="s">
        <v>84</v>
      </c>
      <c r="B18">
        <v>17</v>
      </c>
      <c r="C18">
        <f>Prices!E18-13</f>
        <v>-13</v>
      </c>
      <c r="D18">
        <v>0</v>
      </c>
      <c r="E18" t="s">
        <v>85</v>
      </c>
      <c r="F18">
        <f t="shared" si="0"/>
        <v>0</v>
      </c>
    </row>
    <row r="19" spans="1:6" x14ac:dyDescent="0.25">
      <c r="A19" t="s">
        <v>84</v>
      </c>
      <c r="B19">
        <v>18</v>
      </c>
      <c r="C19">
        <f>Prices!E19-13</f>
        <v>-13</v>
      </c>
      <c r="D19">
        <v>0</v>
      </c>
      <c r="E19" t="s">
        <v>85</v>
      </c>
      <c r="F19">
        <f t="shared" si="0"/>
        <v>0</v>
      </c>
    </row>
    <row r="20" spans="1:6" x14ac:dyDescent="0.25">
      <c r="A20" t="s">
        <v>84</v>
      </c>
      <c r="B20">
        <v>19</v>
      </c>
      <c r="C20">
        <f>Prices!E20-13</f>
        <v>-13</v>
      </c>
      <c r="D20">
        <v>0</v>
      </c>
      <c r="E20" t="s">
        <v>85</v>
      </c>
      <c r="F20">
        <f t="shared" si="0"/>
        <v>0</v>
      </c>
    </row>
    <row r="21" spans="1:6" x14ac:dyDescent="0.25">
      <c r="A21" t="s">
        <v>84</v>
      </c>
      <c r="B21">
        <v>20</v>
      </c>
      <c r="C21">
        <f>Prices!E21-13</f>
        <v>-13</v>
      </c>
      <c r="D21">
        <v>0</v>
      </c>
      <c r="E21" t="s">
        <v>85</v>
      </c>
      <c r="F21">
        <f t="shared" si="0"/>
        <v>0</v>
      </c>
    </row>
    <row r="22" spans="1:6" x14ac:dyDescent="0.25">
      <c r="A22" t="s">
        <v>84</v>
      </c>
      <c r="B22">
        <v>21</v>
      </c>
      <c r="C22">
        <f>Prices!E22-13</f>
        <v>-13</v>
      </c>
      <c r="D22">
        <v>0</v>
      </c>
      <c r="E22" t="s">
        <v>85</v>
      </c>
      <c r="F22">
        <f t="shared" si="0"/>
        <v>0</v>
      </c>
    </row>
    <row r="23" spans="1:6" x14ac:dyDescent="0.25">
      <c r="A23" t="s">
        <v>84</v>
      </c>
      <c r="B23">
        <v>22</v>
      </c>
      <c r="C23">
        <f>Prices!E23-13</f>
        <v>-13</v>
      </c>
      <c r="D23">
        <v>0</v>
      </c>
      <c r="E23" t="s">
        <v>85</v>
      </c>
      <c r="F23">
        <f t="shared" si="0"/>
        <v>0</v>
      </c>
    </row>
    <row r="24" spans="1:6" x14ac:dyDescent="0.25">
      <c r="A24" t="s">
        <v>84</v>
      </c>
      <c r="B24">
        <v>23</v>
      </c>
      <c r="C24">
        <f>Prices!E24-13</f>
        <v>-13</v>
      </c>
      <c r="D24">
        <v>0</v>
      </c>
      <c r="E24" t="s">
        <v>85</v>
      </c>
      <c r="F24">
        <f t="shared" si="0"/>
        <v>0</v>
      </c>
    </row>
    <row r="25" spans="1:6" x14ac:dyDescent="0.25">
      <c r="A25" t="s">
        <v>84</v>
      </c>
      <c r="B25">
        <v>24</v>
      </c>
      <c r="C25">
        <f>Prices!E25-13</f>
        <v>-13</v>
      </c>
      <c r="D25">
        <v>0</v>
      </c>
      <c r="E25" t="s">
        <v>85</v>
      </c>
      <c r="F25">
        <f t="shared" si="0"/>
        <v>0</v>
      </c>
    </row>
    <row r="26" spans="1:6" x14ac:dyDescent="0.25">
      <c r="A26" t="s">
        <v>84</v>
      </c>
      <c r="B26">
        <v>25</v>
      </c>
      <c r="C26">
        <f>Prices!E26-13</f>
        <v>-13</v>
      </c>
      <c r="D26">
        <v>0</v>
      </c>
      <c r="E26" t="s">
        <v>85</v>
      </c>
      <c r="F26">
        <f t="shared" si="0"/>
        <v>0</v>
      </c>
    </row>
    <row r="27" spans="1:6" x14ac:dyDescent="0.25">
      <c r="A27" t="s">
        <v>84</v>
      </c>
      <c r="B27">
        <v>26</v>
      </c>
      <c r="C27">
        <f>Prices!E27-13</f>
        <v>-13</v>
      </c>
      <c r="D27">
        <v>0</v>
      </c>
      <c r="E27" t="s">
        <v>85</v>
      </c>
      <c r="F27">
        <f t="shared" si="0"/>
        <v>0</v>
      </c>
    </row>
    <row r="28" spans="1:6" x14ac:dyDescent="0.25">
      <c r="A28" t="s">
        <v>84</v>
      </c>
      <c r="B28">
        <v>27</v>
      </c>
      <c r="C28">
        <f>Prices!E28-13</f>
        <v>-13</v>
      </c>
      <c r="D28">
        <v>0</v>
      </c>
      <c r="E28" t="s">
        <v>85</v>
      </c>
      <c r="F28">
        <f t="shared" si="0"/>
        <v>0</v>
      </c>
    </row>
    <row r="29" spans="1:6" x14ac:dyDescent="0.25">
      <c r="A29" t="s">
        <v>84</v>
      </c>
      <c r="B29">
        <v>28</v>
      </c>
      <c r="C29">
        <f>Prices!E29-13</f>
        <v>-13</v>
      </c>
      <c r="D29">
        <v>0</v>
      </c>
      <c r="E29" t="s">
        <v>85</v>
      </c>
      <c r="F29">
        <f t="shared" si="0"/>
        <v>0</v>
      </c>
    </row>
    <row r="30" spans="1:6" x14ac:dyDescent="0.25">
      <c r="A30" t="s">
        <v>84</v>
      </c>
      <c r="B30">
        <v>29</v>
      </c>
      <c r="C30">
        <f>Prices!E30-13</f>
        <v>-13</v>
      </c>
      <c r="D30">
        <v>0</v>
      </c>
      <c r="E30" t="s">
        <v>85</v>
      </c>
      <c r="F30">
        <f t="shared" si="0"/>
        <v>0</v>
      </c>
    </row>
    <row r="31" spans="1:6" x14ac:dyDescent="0.25">
      <c r="A31" t="s">
        <v>84</v>
      </c>
      <c r="B31">
        <v>30</v>
      </c>
      <c r="C31">
        <f>Prices!E31-13</f>
        <v>-13</v>
      </c>
      <c r="D31">
        <v>0</v>
      </c>
      <c r="E31" t="s">
        <v>85</v>
      </c>
      <c r="F31">
        <f t="shared" si="0"/>
        <v>0</v>
      </c>
    </row>
    <row r="32" spans="1:6" x14ac:dyDescent="0.25">
      <c r="A32" t="s">
        <v>84</v>
      </c>
      <c r="B32">
        <v>31</v>
      </c>
      <c r="C32">
        <f>Prices!E32-13</f>
        <v>-13</v>
      </c>
      <c r="D32">
        <v>0</v>
      </c>
      <c r="E32" t="s">
        <v>85</v>
      </c>
      <c r="F32">
        <f t="shared" si="0"/>
        <v>0</v>
      </c>
    </row>
    <row r="33" spans="1:6" x14ac:dyDescent="0.25">
      <c r="A33" t="s">
        <v>84</v>
      </c>
      <c r="B33">
        <v>32</v>
      </c>
      <c r="C33">
        <f>Prices!E33-13</f>
        <v>-13</v>
      </c>
      <c r="D33">
        <v>0</v>
      </c>
      <c r="E33" t="s">
        <v>85</v>
      </c>
      <c r="F33">
        <f t="shared" si="0"/>
        <v>0</v>
      </c>
    </row>
    <row r="34" spans="1:6" x14ac:dyDescent="0.25">
      <c r="A34" t="s">
        <v>84</v>
      </c>
      <c r="B34">
        <v>33</v>
      </c>
      <c r="C34">
        <f>Prices!E34-13</f>
        <v>-13</v>
      </c>
      <c r="D34">
        <v>0</v>
      </c>
      <c r="E34" t="s">
        <v>85</v>
      </c>
      <c r="F34">
        <f t="shared" ref="F34:F65" si="1">C34*D34/4</f>
        <v>0</v>
      </c>
    </row>
    <row r="35" spans="1:6" x14ac:dyDescent="0.25">
      <c r="A35" t="s">
        <v>84</v>
      </c>
      <c r="B35">
        <v>34</v>
      </c>
      <c r="C35">
        <f>Prices!E35-13</f>
        <v>-13</v>
      </c>
      <c r="D35">
        <v>0</v>
      </c>
      <c r="E35" t="s">
        <v>85</v>
      </c>
      <c r="F35">
        <f t="shared" si="1"/>
        <v>0</v>
      </c>
    </row>
    <row r="36" spans="1:6" x14ac:dyDescent="0.25">
      <c r="A36" t="s">
        <v>84</v>
      </c>
      <c r="B36">
        <v>35</v>
      </c>
      <c r="C36">
        <f>Prices!E36-13</f>
        <v>-13</v>
      </c>
      <c r="D36">
        <v>0</v>
      </c>
      <c r="E36" t="s">
        <v>85</v>
      </c>
      <c r="F36">
        <f t="shared" si="1"/>
        <v>0</v>
      </c>
    </row>
    <row r="37" spans="1:6" x14ac:dyDescent="0.25">
      <c r="A37" t="s">
        <v>84</v>
      </c>
      <c r="B37">
        <v>36</v>
      </c>
      <c r="C37">
        <f>Prices!E37-13</f>
        <v>-13</v>
      </c>
      <c r="D37">
        <v>0</v>
      </c>
      <c r="E37" t="s">
        <v>85</v>
      </c>
      <c r="F37">
        <f t="shared" si="1"/>
        <v>0</v>
      </c>
    </row>
    <row r="38" spans="1:6" x14ac:dyDescent="0.25">
      <c r="A38" t="s">
        <v>84</v>
      </c>
      <c r="B38">
        <v>37</v>
      </c>
      <c r="C38">
        <f>Prices!E38-13</f>
        <v>-13</v>
      </c>
      <c r="D38">
        <v>0</v>
      </c>
      <c r="E38" t="s">
        <v>85</v>
      </c>
      <c r="F38">
        <f t="shared" si="1"/>
        <v>0</v>
      </c>
    </row>
    <row r="39" spans="1:6" x14ac:dyDescent="0.25">
      <c r="A39" t="s">
        <v>84</v>
      </c>
      <c r="B39">
        <v>38</v>
      </c>
      <c r="C39">
        <f>Prices!E39-13</f>
        <v>-13</v>
      </c>
      <c r="D39">
        <v>0</v>
      </c>
      <c r="E39" t="s">
        <v>85</v>
      </c>
      <c r="F39">
        <f t="shared" si="1"/>
        <v>0</v>
      </c>
    </row>
    <row r="40" spans="1:6" x14ac:dyDescent="0.25">
      <c r="A40" t="s">
        <v>84</v>
      </c>
      <c r="B40">
        <v>39</v>
      </c>
      <c r="C40">
        <f>Prices!E40-13</f>
        <v>-13</v>
      </c>
      <c r="D40">
        <v>0</v>
      </c>
      <c r="E40" t="s">
        <v>85</v>
      </c>
      <c r="F40">
        <f t="shared" si="1"/>
        <v>0</v>
      </c>
    </row>
    <row r="41" spans="1:6" x14ac:dyDescent="0.25">
      <c r="A41" t="s">
        <v>84</v>
      </c>
      <c r="B41">
        <v>40</v>
      </c>
      <c r="C41">
        <f>Prices!E41-13</f>
        <v>-13</v>
      </c>
      <c r="D41">
        <v>0</v>
      </c>
      <c r="E41" t="s">
        <v>85</v>
      </c>
      <c r="F41">
        <f t="shared" si="1"/>
        <v>0</v>
      </c>
    </row>
    <row r="42" spans="1:6" x14ac:dyDescent="0.25">
      <c r="A42" t="s">
        <v>84</v>
      </c>
      <c r="B42">
        <v>41</v>
      </c>
      <c r="C42">
        <f>Prices!E42-13</f>
        <v>-13</v>
      </c>
      <c r="D42">
        <v>0</v>
      </c>
      <c r="E42" t="s">
        <v>85</v>
      </c>
      <c r="F42">
        <f t="shared" si="1"/>
        <v>0</v>
      </c>
    </row>
    <row r="43" spans="1:6" x14ac:dyDescent="0.25">
      <c r="A43" t="s">
        <v>84</v>
      </c>
      <c r="B43">
        <v>42</v>
      </c>
      <c r="C43">
        <f>Prices!E43-13</f>
        <v>-13</v>
      </c>
      <c r="D43">
        <v>0</v>
      </c>
      <c r="E43" t="s">
        <v>85</v>
      </c>
      <c r="F43">
        <f t="shared" si="1"/>
        <v>0</v>
      </c>
    </row>
    <row r="44" spans="1:6" x14ac:dyDescent="0.25">
      <c r="A44" t="s">
        <v>84</v>
      </c>
      <c r="B44">
        <v>43</v>
      </c>
      <c r="C44">
        <f>Prices!E44-13</f>
        <v>-13</v>
      </c>
      <c r="D44">
        <v>0</v>
      </c>
      <c r="E44" t="s">
        <v>85</v>
      </c>
      <c r="F44">
        <f t="shared" si="1"/>
        <v>0</v>
      </c>
    </row>
    <row r="45" spans="1:6" x14ac:dyDescent="0.25">
      <c r="A45" t="s">
        <v>84</v>
      </c>
      <c r="B45">
        <v>44</v>
      </c>
      <c r="C45">
        <f>Prices!E45-13</f>
        <v>-13</v>
      </c>
      <c r="D45">
        <v>0</v>
      </c>
      <c r="E45" t="s">
        <v>85</v>
      </c>
      <c r="F45">
        <f t="shared" si="1"/>
        <v>0</v>
      </c>
    </row>
    <row r="46" spans="1:6" x14ac:dyDescent="0.25">
      <c r="A46" t="s">
        <v>84</v>
      </c>
      <c r="B46">
        <v>45</v>
      </c>
      <c r="C46">
        <f>Prices!E46-13</f>
        <v>-13</v>
      </c>
      <c r="D46">
        <v>0</v>
      </c>
      <c r="E46" t="s">
        <v>85</v>
      </c>
      <c r="F46">
        <f t="shared" si="1"/>
        <v>0</v>
      </c>
    </row>
    <row r="47" spans="1:6" x14ac:dyDescent="0.25">
      <c r="A47" t="s">
        <v>84</v>
      </c>
      <c r="B47">
        <v>46</v>
      </c>
      <c r="C47">
        <f>Prices!E47-13</f>
        <v>-13</v>
      </c>
      <c r="D47">
        <v>0</v>
      </c>
      <c r="E47" t="s">
        <v>85</v>
      </c>
      <c r="F47">
        <f t="shared" si="1"/>
        <v>0</v>
      </c>
    </row>
    <row r="48" spans="1:6" x14ac:dyDescent="0.25">
      <c r="A48" t="s">
        <v>84</v>
      </c>
      <c r="B48">
        <v>47</v>
      </c>
      <c r="C48">
        <f>Prices!E48-13</f>
        <v>-13</v>
      </c>
      <c r="D48">
        <v>0</v>
      </c>
      <c r="E48" t="s">
        <v>85</v>
      </c>
      <c r="F48">
        <f t="shared" si="1"/>
        <v>0</v>
      </c>
    </row>
    <row r="49" spans="1:6" x14ac:dyDescent="0.25">
      <c r="A49" t="s">
        <v>84</v>
      </c>
      <c r="B49">
        <v>48</v>
      </c>
      <c r="C49">
        <f>Prices!E49-13</f>
        <v>-13</v>
      </c>
      <c r="D49">
        <v>0</v>
      </c>
      <c r="E49" t="s">
        <v>85</v>
      </c>
      <c r="F49">
        <f t="shared" si="1"/>
        <v>0</v>
      </c>
    </row>
    <row r="50" spans="1:6" x14ac:dyDescent="0.25">
      <c r="A50" t="s">
        <v>84</v>
      </c>
      <c r="B50">
        <v>49</v>
      </c>
      <c r="C50">
        <f>Prices!E50-13</f>
        <v>-13</v>
      </c>
      <c r="D50">
        <v>0</v>
      </c>
      <c r="E50" t="s">
        <v>85</v>
      </c>
      <c r="F50">
        <f t="shared" si="1"/>
        <v>0</v>
      </c>
    </row>
    <row r="51" spans="1:6" x14ac:dyDescent="0.25">
      <c r="A51" t="s">
        <v>84</v>
      </c>
      <c r="B51">
        <v>50</v>
      </c>
      <c r="C51">
        <f>Prices!E51-13</f>
        <v>-13</v>
      </c>
      <c r="D51">
        <v>0</v>
      </c>
      <c r="E51" t="s">
        <v>85</v>
      </c>
      <c r="F51">
        <f t="shared" si="1"/>
        <v>0</v>
      </c>
    </row>
    <row r="52" spans="1:6" x14ac:dyDescent="0.25">
      <c r="A52" t="s">
        <v>84</v>
      </c>
      <c r="B52">
        <v>51</v>
      </c>
      <c r="C52">
        <f>Prices!E52-13</f>
        <v>-13</v>
      </c>
      <c r="D52">
        <v>0</v>
      </c>
      <c r="E52" t="s">
        <v>85</v>
      </c>
      <c r="F52">
        <f t="shared" si="1"/>
        <v>0</v>
      </c>
    </row>
    <row r="53" spans="1:6" x14ac:dyDescent="0.25">
      <c r="A53" t="s">
        <v>84</v>
      </c>
      <c r="B53">
        <v>52</v>
      </c>
      <c r="C53">
        <f>Prices!E53-13</f>
        <v>-13</v>
      </c>
      <c r="D53">
        <v>0</v>
      </c>
      <c r="E53" t="s">
        <v>85</v>
      </c>
      <c r="F53">
        <f t="shared" si="1"/>
        <v>0</v>
      </c>
    </row>
    <row r="54" spans="1:6" x14ac:dyDescent="0.25">
      <c r="A54" t="s">
        <v>84</v>
      </c>
      <c r="B54">
        <v>53</v>
      </c>
      <c r="C54">
        <f>Prices!E54-13</f>
        <v>-13</v>
      </c>
      <c r="D54">
        <v>0</v>
      </c>
      <c r="E54" t="s">
        <v>85</v>
      </c>
      <c r="F54">
        <f t="shared" si="1"/>
        <v>0</v>
      </c>
    </row>
    <row r="55" spans="1:6" x14ac:dyDescent="0.25">
      <c r="A55" t="s">
        <v>84</v>
      </c>
      <c r="B55">
        <v>54</v>
      </c>
      <c r="C55">
        <f>Prices!E55-13</f>
        <v>-13</v>
      </c>
      <c r="D55">
        <v>0</v>
      </c>
      <c r="E55" t="s">
        <v>85</v>
      </c>
      <c r="F55">
        <f t="shared" si="1"/>
        <v>0</v>
      </c>
    </row>
    <row r="56" spans="1:6" x14ac:dyDescent="0.25">
      <c r="A56" t="s">
        <v>84</v>
      </c>
      <c r="B56">
        <v>55</v>
      </c>
      <c r="C56">
        <f>Prices!E56-13</f>
        <v>-13</v>
      </c>
      <c r="D56">
        <v>0</v>
      </c>
      <c r="E56" t="s">
        <v>85</v>
      </c>
      <c r="F56">
        <f t="shared" si="1"/>
        <v>0</v>
      </c>
    </row>
    <row r="57" spans="1:6" x14ac:dyDescent="0.25">
      <c r="A57" t="s">
        <v>84</v>
      </c>
      <c r="B57">
        <v>56</v>
      </c>
      <c r="C57">
        <f>Prices!E57-13</f>
        <v>-13</v>
      </c>
      <c r="D57">
        <v>0</v>
      </c>
      <c r="E57" t="s">
        <v>85</v>
      </c>
      <c r="F57">
        <f t="shared" si="1"/>
        <v>0</v>
      </c>
    </row>
    <row r="58" spans="1:6" x14ac:dyDescent="0.25">
      <c r="A58" t="s">
        <v>84</v>
      </c>
      <c r="B58">
        <v>57</v>
      </c>
      <c r="C58">
        <f>Prices!E58-13</f>
        <v>-13</v>
      </c>
      <c r="D58">
        <v>0</v>
      </c>
      <c r="E58" t="s">
        <v>85</v>
      </c>
      <c r="F58">
        <f t="shared" si="1"/>
        <v>0</v>
      </c>
    </row>
    <row r="59" spans="1:6" x14ac:dyDescent="0.25">
      <c r="A59" t="s">
        <v>84</v>
      </c>
      <c r="B59">
        <v>58</v>
      </c>
      <c r="C59">
        <f>Prices!E59-13</f>
        <v>-13</v>
      </c>
      <c r="D59">
        <v>0</v>
      </c>
      <c r="E59" t="s">
        <v>85</v>
      </c>
      <c r="F59">
        <f t="shared" si="1"/>
        <v>0</v>
      </c>
    </row>
    <row r="60" spans="1:6" x14ac:dyDescent="0.25">
      <c r="A60" t="s">
        <v>84</v>
      </c>
      <c r="B60">
        <v>59</v>
      </c>
      <c r="C60">
        <f>Prices!E60-13</f>
        <v>-13</v>
      </c>
      <c r="D60">
        <v>0</v>
      </c>
      <c r="E60" t="s">
        <v>85</v>
      </c>
      <c r="F60">
        <f t="shared" si="1"/>
        <v>0</v>
      </c>
    </row>
    <row r="61" spans="1:6" x14ac:dyDescent="0.25">
      <c r="A61" t="s">
        <v>84</v>
      </c>
      <c r="B61">
        <v>60</v>
      </c>
      <c r="C61">
        <f>Prices!E61-13</f>
        <v>-13</v>
      </c>
      <c r="D61">
        <v>0</v>
      </c>
      <c r="E61" t="s">
        <v>85</v>
      </c>
      <c r="F61">
        <f t="shared" si="1"/>
        <v>0</v>
      </c>
    </row>
    <row r="62" spans="1:6" x14ac:dyDescent="0.25">
      <c r="A62" t="s">
        <v>84</v>
      </c>
      <c r="B62">
        <v>61</v>
      </c>
      <c r="C62">
        <f>Prices!E62-13</f>
        <v>-13</v>
      </c>
      <c r="D62">
        <v>0</v>
      </c>
      <c r="E62" t="s">
        <v>85</v>
      </c>
      <c r="F62">
        <f t="shared" si="1"/>
        <v>0</v>
      </c>
    </row>
    <row r="63" spans="1:6" x14ac:dyDescent="0.25">
      <c r="A63" t="s">
        <v>84</v>
      </c>
      <c r="B63">
        <v>62</v>
      </c>
      <c r="C63">
        <f>Prices!E63-13</f>
        <v>-13</v>
      </c>
      <c r="D63">
        <v>0</v>
      </c>
      <c r="E63" t="s">
        <v>85</v>
      </c>
      <c r="F63">
        <f t="shared" si="1"/>
        <v>0</v>
      </c>
    </row>
    <row r="64" spans="1:6" x14ac:dyDescent="0.25">
      <c r="A64" t="s">
        <v>84</v>
      </c>
      <c r="B64">
        <v>63</v>
      </c>
      <c r="C64">
        <f>Prices!E64-13</f>
        <v>-13</v>
      </c>
      <c r="D64">
        <v>0</v>
      </c>
      <c r="E64" t="s">
        <v>85</v>
      </c>
      <c r="F64">
        <f t="shared" si="1"/>
        <v>0</v>
      </c>
    </row>
    <row r="65" spans="1:6" x14ac:dyDescent="0.25">
      <c r="A65" t="s">
        <v>84</v>
      </c>
      <c r="B65">
        <v>64</v>
      </c>
      <c r="C65">
        <f>Prices!E65-13</f>
        <v>-13</v>
      </c>
      <c r="D65">
        <v>0</v>
      </c>
      <c r="E65" t="s">
        <v>85</v>
      </c>
      <c r="F65">
        <f t="shared" si="1"/>
        <v>0</v>
      </c>
    </row>
    <row r="66" spans="1:6" x14ac:dyDescent="0.25">
      <c r="A66" t="s">
        <v>84</v>
      </c>
      <c r="B66">
        <v>65</v>
      </c>
      <c r="C66">
        <f>Prices!E66-13</f>
        <v>-13</v>
      </c>
      <c r="D66">
        <v>0</v>
      </c>
      <c r="E66" t="s">
        <v>85</v>
      </c>
      <c r="F66">
        <f t="shared" ref="F66:F97" si="2">C66*D66/4</f>
        <v>0</v>
      </c>
    </row>
    <row r="67" spans="1:6" x14ac:dyDescent="0.25">
      <c r="A67" t="s">
        <v>84</v>
      </c>
      <c r="B67">
        <v>66</v>
      </c>
      <c r="C67">
        <f>Prices!E67-13</f>
        <v>-13</v>
      </c>
      <c r="D67">
        <v>0</v>
      </c>
      <c r="E67" t="s">
        <v>85</v>
      </c>
      <c r="F67">
        <f t="shared" si="2"/>
        <v>0</v>
      </c>
    </row>
    <row r="68" spans="1:6" x14ac:dyDescent="0.25">
      <c r="A68" t="s">
        <v>84</v>
      </c>
      <c r="B68">
        <v>67</v>
      </c>
      <c r="C68">
        <f>Prices!E68-13</f>
        <v>-13</v>
      </c>
      <c r="D68">
        <v>0</v>
      </c>
      <c r="E68" t="s">
        <v>85</v>
      </c>
      <c r="F68">
        <f t="shared" si="2"/>
        <v>0</v>
      </c>
    </row>
    <row r="69" spans="1:6" x14ac:dyDescent="0.25">
      <c r="A69" t="s">
        <v>84</v>
      </c>
      <c r="B69">
        <v>68</v>
      </c>
      <c r="C69">
        <f>Prices!E69-13</f>
        <v>-13</v>
      </c>
      <c r="D69">
        <v>0</v>
      </c>
      <c r="E69" t="s">
        <v>85</v>
      </c>
      <c r="F69">
        <f t="shared" si="2"/>
        <v>0</v>
      </c>
    </row>
    <row r="70" spans="1:6" x14ac:dyDescent="0.25">
      <c r="A70" t="s">
        <v>84</v>
      </c>
      <c r="B70">
        <v>69</v>
      </c>
      <c r="C70">
        <f>Prices!E70-13</f>
        <v>-13</v>
      </c>
      <c r="D70">
        <v>0</v>
      </c>
      <c r="E70" t="s">
        <v>85</v>
      </c>
      <c r="F70">
        <f t="shared" si="2"/>
        <v>0</v>
      </c>
    </row>
    <row r="71" spans="1:6" x14ac:dyDescent="0.25">
      <c r="A71" t="s">
        <v>84</v>
      </c>
      <c r="B71">
        <v>70</v>
      </c>
      <c r="C71">
        <f>Prices!E71-13</f>
        <v>-13</v>
      </c>
      <c r="D71">
        <v>0</v>
      </c>
      <c r="E71" t="s">
        <v>85</v>
      </c>
      <c r="F71">
        <f t="shared" si="2"/>
        <v>0</v>
      </c>
    </row>
    <row r="72" spans="1:6" x14ac:dyDescent="0.25">
      <c r="A72" t="s">
        <v>84</v>
      </c>
      <c r="B72">
        <v>71</v>
      </c>
      <c r="C72">
        <f>Prices!E72-13</f>
        <v>-13</v>
      </c>
      <c r="D72">
        <v>0</v>
      </c>
      <c r="E72" t="s">
        <v>85</v>
      </c>
      <c r="F72">
        <f t="shared" si="2"/>
        <v>0</v>
      </c>
    </row>
    <row r="73" spans="1:6" x14ac:dyDescent="0.25">
      <c r="A73" t="s">
        <v>84</v>
      </c>
      <c r="B73">
        <v>72</v>
      </c>
      <c r="C73">
        <f>Prices!E73-13</f>
        <v>-13</v>
      </c>
      <c r="D73">
        <v>0</v>
      </c>
      <c r="E73" t="s">
        <v>85</v>
      </c>
      <c r="F73">
        <f t="shared" si="2"/>
        <v>0</v>
      </c>
    </row>
    <row r="74" spans="1:6" x14ac:dyDescent="0.25">
      <c r="A74" t="s">
        <v>84</v>
      </c>
      <c r="B74">
        <v>73</v>
      </c>
      <c r="C74">
        <f>Prices!E74-13</f>
        <v>-13</v>
      </c>
      <c r="D74">
        <v>0</v>
      </c>
      <c r="E74" t="s">
        <v>85</v>
      </c>
      <c r="F74">
        <f t="shared" si="2"/>
        <v>0</v>
      </c>
    </row>
    <row r="75" spans="1:6" x14ac:dyDescent="0.25">
      <c r="A75" t="s">
        <v>84</v>
      </c>
      <c r="B75">
        <v>74</v>
      </c>
      <c r="C75">
        <f>Prices!E75-13</f>
        <v>-13</v>
      </c>
      <c r="D75">
        <v>0</v>
      </c>
      <c r="E75" t="s">
        <v>85</v>
      </c>
      <c r="F75">
        <f t="shared" si="2"/>
        <v>0</v>
      </c>
    </row>
    <row r="76" spans="1:6" x14ac:dyDescent="0.25">
      <c r="A76" t="s">
        <v>84</v>
      </c>
      <c r="B76">
        <v>75</v>
      </c>
      <c r="C76">
        <f>Prices!E76-13</f>
        <v>-13</v>
      </c>
      <c r="D76">
        <v>0</v>
      </c>
      <c r="E76" t="s">
        <v>85</v>
      </c>
      <c r="F76">
        <f t="shared" si="2"/>
        <v>0</v>
      </c>
    </row>
    <row r="77" spans="1:6" x14ac:dyDescent="0.25">
      <c r="A77" t="s">
        <v>84</v>
      </c>
      <c r="B77">
        <v>76</v>
      </c>
      <c r="C77">
        <f>Prices!E77-13</f>
        <v>-13</v>
      </c>
      <c r="D77">
        <v>0</v>
      </c>
      <c r="E77" t="s">
        <v>85</v>
      </c>
      <c r="F77">
        <f t="shared" si="2"/>
        <v>0</v>
      </c>
    </row>
    <row r="78" spans="1:6" x14ac:dyDescent="0.25">
      <c r="A78" t="s">
        <v>84</v>
      </c>
      <c r="B78">
        <v>77</v>
      </c>
      <c r="C78">
        <f>Prices!E78-13</f>
        <v>-13</v>
      </c>
      <c r="D78">
        <v>0</v>
      </c>
      <c r="E78" t="s">
        <v>85</v>
      </c>
      <c r="F78">
        <f t="shared" si="2"/>
        <v>0</v>
      </c>
    </row>
    <row r="79" spans="1:6" x14ac:dyDescent="0.25">
      <c r="A79" t="s">
        <v>84</v>
      </c>
      <c r="B79">
        <v>78</v>
      </c>
      <c r="C79">
        <f>Prices!E79-13</f>
        <v>-13</v>
      </c>
      <c r="D79">
        <v>0</v>
      </c>
      <c r="E79" t="s">
        <v>85</v>
      </c>
      <c r="F79">
        <f t="shared" si="2"/>
        <v>0</v>
      </c>
    </row>
    <row r="80" spans="1:6" x14ac:dyDescent="0.25">
      <c r="A80" t="s">
        <v>84</v>
      </c>
      <c r="B80">
        <v>79</v>
      </c>
      <c r="C80">
        <f>Prices!E80-13</f>
        <v>-13</v>
      </c>
      <c r="D80">
        <v>0</v>
      </c>
      <c r="E80" t="s">
        <v>85</v>
      </c>
      <c r="F80">
        <f t="shared" si="2"/>
        <v>0</v>
      </c>
    </row>
    <row r="81" spans="1:6" x14ac:dyDescent="0.25">
      <c r="A81" t="s">
        <v>84</v>
      </c>
      <c r="B81">
        <v>80</v>
      </c>
      <c r="C81">
        <f>Prices!E81-13</f>
        <v>-13</v>
      </c>
      <c r="D81">
        <v>0</v>
      </c>
      <c r="E81" t="s">
        <v>85</v>
      </c>
      <c r="F81">
        <f t="shared" si="2"/>
        <v>0</v>
      </c>
    </row>
    <row r="82" spans="1:6" x14ac:dyDescent="0.25">
      <c r="A82" t="s">
        <v>84</v>
      </c>
      <c r="B82">
        <v>81</v>
      </c>
      <c r="C82">
        <f>Prices!E82-13</f>
        <v>-13</v>
      </c>
      <c r="D82">
        <v>0</v>
      </c>
      <c r="E82" t="s">
        <v>85</v>
      </c>
      <c r="F82">
        <f t="shared" si="2"/>
        <v>0</v>
      </c>
    </row>
    <row r="83" spans="1:6" x14ac:dyDescent="0.25">
      <c r="A83" t="s">
        <v>84</v>
      </c>
      <c r="B83">
        <v>82</v>
      </c>
      <c r="C83">
        <f>Prices!E83-13</f>
        <v>-13</v>
      </c>
      <c r="D83">
        <v>0</v>
      </c>
      <c r="E83" t="s">
        <v>85</v>
      </c>
      <c r="F83">
        <f t="shared" si="2"/>
        <v>0</v>
      </c>
    </row>
    <row r="84" spans="1:6" x14ac:dyDescent="0.25">
      <c r="A84" t="s">
        <v>84</v>
      </c>
      <c r="B84">
        <v>83</v>
      </c>
      <c r="C84">
        <f>Prices!E84-13</f>
        <v>-13</v>
      </c>
      <c r="D84">
        <v>0</v>
      </c>
      <c r="E84" t="s">
        <v>85</v>
      </c>
      <c r="F84">
        <f t="shared" si="2"/>
        <v>0</v>
      </c>
    </row>
    <row r="85" spans="1:6" x14ac:dyDescent="0.25">
      <c r="A85" t="s">
        <v>84</v>
      </c>
      <c r="B85">
        <v>84</v>
      </c>
      <c r="C85">
        <f>Prices!E85-13</f>
        <v>-13</v>
      </c>
      <c r="D85">
        <v>0</v>
      </c>
      <c r="E85" t="s">
        <v>85</v>
      </c>
      <c r="F85">
        <f t="shared" si="2"/>
        <v>0</v>
      </c>
    </row>
    <row r="86" spans="1:6" x14ac:dyDescent="0.25">
      <c r="A86" t="s">
        <v>84</v>
      </c>
      <c r="B86">
        <v>85</v>
      </c>
      <c r="C86">
        <f>Prices!E86-13</f>
        <v>-13</v>
      </c>
      <c r="D86">
        <v>0</v>
      </c>
      <c r="E86" t="s">
        <v>85</v>
      </c>
      <c r="F86">
        <f t="shared" si="2"/>
        <v>0</v>
      </c>
    </row>
    <row r="87" spans="1:6" x14ac:dyDescent="0.25">
      <c r="A87" t="s">
        <v>84</v>
      </c>
      <c r="B87">
        <v>86</v>
      </c>
      <c r="C87">
        <f>Prices!E87-13</f>
        <v>-13</v>
      </c>
      <c r="D87">
        <v>0</v>
      </c>
      <c r="E87" t="s">
        <v>85</v>
      </c>
      <c r="F87">
        <f t="shared" si="2"/>
        <v>0</v>
      </c>
    </row>
    <row r="88" spans="1:6" x14ac:dyDescent="0.25">
      <c r="A88" t="s">
        <v>84</v>
      </c>
      <c r="B88">
        <v>87</v>
      </c>
      <c r="C88">
        <f>Prices!E88-13</f>
        <v>-13</v>
      </c>
      <c r="D88">
        <v>0</v>
      </c>
      <c r="E88" t="s">
        <v>85</v>
      </c>
      <c r="F88">
        <f t="shared" si="2"/>
        <v>0</v>
      </c>
    </row>
    <row r="89" spans="1:6" x14ac:dyDescent="0.25">
      <c r="A89" t="s">
        <v>84</v>
      </c>
      <c r="B89">
        <v>88</v>
      </c>
      <c r="C89">
        <f>Prices!E89-13</f>
        <v>-13</v>
      </c>
      <c r="D89">
        <v>0</v>
      </c>
      <c r="E89" t="s">
        <v>85</v>
      </c>
      <c r="F89">
        <f t="shared" si="2"/>
        <v>0</v>
      </c>
    </row>
    <row r="90" spans="1:6" x14ac:dyDescent="0.25">
      <c r="A90" t="s">
        <v>84</v>
      </c>
      <c r="B90">
        <v>89</v>
      </c>
      <c r="C90">
        <f>Prices!E90-13</f>
        <v>-13</v>
      </c>
      <c r="D90">
        <v>0</v>
      </c>
      <c r="E90" t="s">
        <v>85</v>
      </c>
      <c r="F90">
        <f t="shared" si="2"/>
        <v>0</v>
      </c>
    </row>
    <row r="91" spans="1:6" x14ac:dyDescent="0.25">
      <c r="A91" t="s">
        <v>84</v>
      </c>
      <c r="B91">
        <v>90</v>
      </c>
      <c r="C91">
        <f>Prices!E91-13</f>
        <v>-13</v>
      </c>
      <c r="D91">
        <v>0</v>
      </c>
      <c r="E91" t="s">
        <v>85</v>
      </c>
      <c r="F91">
        <f t="shared" si="2"/>
        <v>0</v>
      </c>
    </row>
    <row r="92" spans="1:6" x14ac:dyDescent="0.25">
      <c r="A92" t="s">
        <v>84</v>
      </c>
      <c r="B92">
        <v>91</v>
      </c>
      <c r="C92">
        <f>Prices!E92-13</f>
        <v>-13</v>
      </c>
      <c r="D92">
        <v>0</v>
      </c>
      <c r="E92" t="s">
        <v>85</v>
      </c>
      <c r="F92">
        <f t="shared" si="2"/>
        <v>0</v>
      </c>
    </row>
    <row r="93" spans="1:6" x14ac:dyDescent="0.25">
      <c r="A93" t="s">
        <v>84</v>
      </c>
      <c r="B93">
        <v>92</v>
      </c>
      <c r="C93">
        <f>Prices!E93-13</f>
        <v>-13</v>
      </c>
      <c r="D93">
        <v>0</v>
      </c>
      <c r="E93" t="s">
        <v>85</v>
      </c>
      <c r="F93">
        <f t="shared" si="2"/>
        <v>0</v>
      </c>
    </row>
    <row r="94" spans="1:6" x14ac:dyDescent="0.25">
      <c r="A94" t="s">
        <v>84</v>
      </c>
      <c r="B94">
        <v>93</v>
      </c>
      <c r="C94">
        <f>Prices!E94-13</f>
        <v>-13</v>
      </c>
      <c r="D94">
        <v>0</v>
      </c>
      <c r="E94" t="s">
        <v>85</v>
      </c>
      <c r="F94">
        <f t="shared" si="2"/>
        <v>0</v>
      </c>
    </row>
    <row r="95" spans="1:6" x14ac:dyDescent="0.25">
      <c r="A95" t="s">
        <v>84</v>
      </c>
      <c r="B95">
        <v>94</v>
      </c>
      <c r="C95">
        <f>Prices!E95-13</f>
        <v>-13</v>
      </c>
      <c r="D95">
        <v>0</v>
      </c>
      <c r="E95" t="s">
        <v>85</v>
      </c>
      <c r="F95">
        <f t="shared" si="2"/>
        <v>0</v>
      </c>
    </row>
    <row r="96" spans="1:6" x14ac:dyDescent="0.25">
      <c r="A96" t="s">
        <v>84</v>
      </c>
      <c r="B96">
        <v>95</v>
      </c>
      <c r="C96">
        <f>Prices!E96-13</f>
        <v>-13</v>
      </c>
      <c r="D96">
        <v>0</v>
      </c>
      <c r="E96" t="s">
        <v>85</v>
      </c>
      <c r="F96">
        <f t="shared" si="2"/>
        <v>0</v>
      </c>
    </row>
    <row r="97" spans="1:6" x14ac:dyDescent="0.25">
      <c r="A97" t="s">
        <v>84</v>
      </c>
      <c r="B97">
        <v>96</v>
      </c>
      <c r="C97">
        <f>Prices!E97-13</f>
        <v>-13</v>
      </c>
      <c r="D97">
        <v>0</v>
      </c>
      <c r="E97" t="s">
        <v>85</v>
      </c>
      <c r="F97">
        <f t="shared" si="2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F97"/>
  <sheetViews>
    <sheetView workbookViewId="0">
      <selection activeCell="K10" sqref="K10:K11"/>
    </sheetView>
  </sheetViews>
  <sheetFormatPr defaultRowHeight="15" x14ac:dyDescent="0.25"/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Prices!E2-18</f>
        <v>-18</v>
      </c>
      <c r="D2">
        <v>3</v>
      </c>
      <c r="E2" t="s">
        <v>85</v>
      </c>
      <c r="F2">
        <f t="shared" ref="F2:F33" si="0">C2*D2/4</f>
        <v>-13.5</v>
      </c>
    </row>
    <row r="3" spans="1:6" x14ac:dyDescent="0.25">
      <c r="A3" t="s">
        <v>84</v>
      </c>
      <c r="B3">
        <v>2</v>
      </c>
      <c r="C3">
        <f>Prices!E3-18</f>
        <v>-18</v>
      </c>
      <c r="D3">
        <v>3</v>
      </c>
      <c r="E3" t="s">
        <v>85</v>
      </c>
      <c r="F3">
        <f t="shared" si="0"/>
        <v>-13.5</v>
      </c>
    </row>
    <row r="4" spans="1:6" x14ac:dyDescent="0.25">
      <c r="A4" t="s">
        <v>84</v>
      </c>
      <c r="B4">
        <v>3</v>
      </c>
      <c r="C4">
        <f>Prices!E4-18</f>
        <v>-18</v>
      </c>
      <c r="D4">
        <v>3</v>
      </c>
      <c r="E4" t="s">
        <v>85</v>
      </c>
      <c r="F4">
        <f t="shared" si="0"/>
        <v>-13.5</v>
      </c>
    </row>
    <row r="5" spans="1:6" x14ac:dyDescent="0.25">
      <c r="A5" t="s">
        <v>84</v>
      </c>
      <c r="B5">
        <v>4</v>
      </c>
      <c r="C5">
        <f>Prices!E5-18</f>
        <v>-18</v>
      </c>
      <c r="D5">
        <v>3</v>
      </c>
      <c r="E5" t="s">
        <v>85</v>
      </c>
      <c r="F5">
        <f t="shared" si="0"/>
        <v>-13.5</v>
      </c>
    </row>
    <row r="6" spans="1:6" x14ac:dyDescent="0.25">
      <c r="A6" t="s">
        <v>84</v>
      </c>
      <c r="B6">
        <v>5</v>
      </c>
      <c r="C6">
        <f>Prices!E6-18</f>
        <v>-18</v>
      </c>
      <c r="D6">
        <v>3</v>
      </c>
      <c r="E6" t="s">
        <v>85</v>
      </c>
      <c r="F6">
        <f t="shared" si="0"/>
        <v>-13.5</v>
      </c>
    </row>
    <row r="7" spans="1:6" x14ac:dyDescent="0.25">
      <c r="A7" t="s">
        <v>84</v>
      </c>
      <c r="B7">
        <v>6</v>
      </c>
      <c r="C7">
        <f>Prices!E7-18</f>
        <v>-18</v>
      </c>
      <c r="D7">
        <v>3</v>
      </c>
      <c r="E7" t="s">
        <v>85</v>
      </c>
      <c r="F7">
        <f t="shared" si="0"/>
        <v>-13.5</v>
      </c>
    </row>
    <row r="8" spans="1:6" x14ac:dyDescent="0.25">
      <c r="A8" t="s">
        <v>84</v>
      </c>
      <c r="B8">
        <v>7</v>
      </c>
      <c r="C8">
        <f>Prices!E8-18</f>
        <v>-18</v>
      </c>
      <c r="D8">
        <v>3</v>
      </c>
      <c r="E8" t="s">
        <v>85</v>
      </c>
      <c r="F8">
        <f t="shared" si="0"/>
        <v>-13.5</v>
      </c>
    </row>
    <row r="9" spans="1:6" x14ac:dyDescent="0.25">
      <c r="A9" t="s">
        <v>84</v>
      </c>
      <c r="B9">
        <v>8</v>
      </c>
      <c r="C9">
        <f>Prices!E9-18</f>
        <v>-18</v>
      </c>
      <c r="D9">
        <v>3</v>
      </c>
      <c r="E9" t="s">
        <v>85</v>
      </c>
      <c r="F9">
        <f t="shared" si="0"/>
        <v>-13.5</v>
      </c>
    </row>
    <row r="10" spans="1:6" x14ac:dyDescent="0.25">
      <c r="A10" t="s">
        <v>84</v>
      </c>
      <c r="B10">
        <v>9</v>
      </c>
      <c r="C10">
        <f>Prices!E10-18</f>
        <v>-18</v>
      </c>
      <c r="D10">
        <v>3</v>
      </c>
      <c r="E10" t="s">
        <v>85</v>
      </c>
      <c r="F10">
        <f t="shared" si="0"/>
        <v>-13.5</v>
      </c>
    </row>
    <row r="11" spans="1:6" x14ac:dyDescent="0.25">
      <c r="A11" t="s">
        <v>84</v>
      </c>
      <c r="B11">
        <v>10</v>
      </c>
      <c r="C11">
        <f>Prices!E11-18</f>
        <v>-18</v>
      </c>
      <c r="D11">
        <v>3</v>
      </c>
      <c r="E11" t="s">
        <v>85</v>
      </c>
      <c r="F11">
        <f t="shared" si="0"/>
        <v>-13.5</v>
      </c>
    </row>
    <row r="12" spans="1:6" x14ac:dyDescent="0.25">
      <c r="A12" t="s">
        <v>84</v>
      </c>
      <c r="B12">
        <v>11</v>
      </c>
      <c r="C12">
        <f>Prices!E12-18</f>
        <v>-18</v>
      </c>
      <c r="D12">
        <v>3</v>
      </c>
      <c r="E12" t="s">
        <v>85</v>
      </c>
      <c r="F12">
        <f t="shared" si="0"/>
        <v>-13.5</v>
      </c>
    </row>
    <row r="13" spans="1:6" x14ac:dyDescent="0.25">
      <c r="A13" t="s">
        <v>84</v>
      </c>
      <c r="B13">
        <v>12</v>
      </c>
      <c r="C13">
        <f>Prices!E13-18</f>
        <v>-18</v>
      </c>
      <c r="D13">
        <v>3</v>
      </c>
      <c r="E13" t="s">
        <v>85</v>
      </c>
      <c r="F13">
        <f t="shared" si="0"/>
        <v>-13.5</v>
      </c>
    </row>
    <row r="14" spans="1:6" x14ac:dyDescent="0.25">
      <c r="A14" t="s">
        <v>84</v>
      </c>
      <c r="B14">
        <v>13</v>
      </c>
      <c r="C14">
        <f>Prices!E14-18</f>
        <v>-18</v>
      </c>
      <c r="D14">
        <v>3</v>
      </c>
      <c r="E14" t="s">
        <v>85</v>
      </c>
      <c r="F14">
        <f t="shared" si="0"/>
        <v>-13.5</v>
      </c>
    </row>
    <row r="15" spans="1:6" x14ac:dyDescent="0.25">
      <c r="A15" t="s">
        <v>84</v>
      </c>
      <c r="B15">
        <v>14</v>
      </c>
      <c r="C15">
        <f>Prices!E15-18</f>
        <v>-18</v>
      </c>
      <c r="D15">
        <v>3</v>
      </c>
      <c r="E15" t="s">
        <v>85</v>
      </c>
      <c r="F15">
        <f t="shared" si="0"/>
        <v>-13.5</v>
      </c>
    </row>
    <row r="16" spans="1:6" x14ac:dyDescent="0.25">
      <c r="A16" t="s">
        <v>84</v>
      </c>
      <c r="B16">
        <v>15</v>
      </c>
      <c r="C16">
        <f>Prices!E16-18</f>
        <v>-18</v>
      </c>
      <c r="D16">
        <v>3</v>
      </c>
      <c r="E16" t="s">
        <v>85</v>
      </c>
      <c r="F16">
        <f t="shared" si="0"/>
        <v>-13.5</v>
      </c>
    </row>
    <row r="17" spans="1:6" x14ac:dyDescent="0.25">
      <c r="A17" t="s">
        <v>84</v>
      </c>
      <c r="B17">
        <v>16</v>
      </c>
      <c r="C17">
        <f>Prices!E17-18</f>
        <v>-18</v>
      </c>
      <c r="D17">
        <v>3</v>
      </c>
      <c r="E17" t="s">
        <v>85</v>
      </c>
      <c r="F17">
        <f t="shared" si="0"/>
        <v>-13.5</v>
      </c>
    </row>
    <row r="18" spans="1:6" x14ac:dyDescent="0.25">
      <c r="A18" t="s">
        <v>84</v>
      </c>
      <c r="B18">
        <v>17</v>
      </c>
      <c r="C18">
        <f>Prices!E18-18</f>
        <v>-18</v>
      </c>
      <c r="D18">
        <v>3</v>
      </c>
      <c r="E18" t="s">
        <v>85</v>
      </c>
      <c r="F18">
        <f t="shared" si="0"/>
        <v>-13.5</v>
      </c>
    </row>
    <row r="19" spans="1:6" x14ac:dyDescent="0.25">
      <c r="A19" t="s">
        <v>84</v>
      </c>
      <c r="B19">
        <v>18</v>
      </c>
      <c r="C19">
        <f>Prices!E19-18</f>
        <v>-18</v>
      </c>
      <c r="D19">
        <v>3</v>
      </c>
      <c r="E19" t="s">
        <v>85</v>
      </c>
      <c r="F19">
        <f t="shared" si="0"/>
        <v>-13.5</v>
      </c>
    </row>
    <row r="20" spans="1:6" x14ac:dyDescent="0.25">
      <c r="A20" t="s">
        <v>84</v>
      </c>
      <c r="B20">
        <v>19</v>
      </c>
      <c r="C20">
        <f>Prices!E20-18</f>
        <v>-18</v>
      </c>
      <c r="D20">
        <v>3</v>
      </c>
      <c r="E20" t="s">
        <v>85</v>
      </c>
      <c r="F20">
        <f t="shared" si="0"/>
        <v>-13.5</v>
      </c>
    </row>
    <row r="21" spans="1:6" x14ac:dyDescent="0.25">
      <c r="A21" t="s">
        <v>84</v>
      </c>
      <c r="B21">
        <v>20</v>
      </c>
      <c r="C21">
        <f>Prices!E21-18</f>
        <v>-18</v>
      </c>
      <c r="D21">
        <v>3</v>
      </c>
      <c r="E21" t="s">
        <v>85</v>
      </c>
      <c r="F21">
        <f t="shared" si="0"/>
        <v>-13.5</v>
      </c>
    </row>
    <row r="22" spans="1:6" x14ac:dyDescent="0.25">
      <c r="A22" t="s">
        <v>84</v>
      </c>
      <c r="B22">
        <v>21</v>
      </c>
      <c r="C22">
        <f>Prices!E22-18</f>
        <v>-18</v>
      </c>
      <c r="D22">
        <v>3</v>
      </c>
      <c r="E22" t="s">
        <v>85</v>
      </c>
      <c r="F22">
        <f t="shared" si="0"/>
        <v>-13.5</v>
      </c>
    </row>
    <row r="23" spans="1:6" x14ac:dyDescent="0.25">
      <c r="A23" t="s">
        <v>84</v>
      </c>
      <c r="B23">
        <v>22</v>
      </c>
      <c r="C23">
        <f>Prices!E23-18</f>
        <v>-18</v>
      </c>
      <c r="D23">
        <v>3</v>
      </c>
      <c r="E23" t="s">
        <v>85</v>
      </c>
      <c r="F23">
        <f t="shared" si="0"/>
        <v>-13.5</v>
      </c>
    </row>
    <row r="24" spans="1:6" x14ac:dyDescent="0.25">
      <c r="A24" t="s">
        <v>84</v>
      </c>
      <c r="B24">
        <v>23</v>
      </c>
      <c r="C24">
        <f>Prices!E24-18</f>
        <v>-18</v>
      </c>
      <c r="D24">
        <v>3</v>
      </c>
      <c r="E24" t="s">
        <v>85</v>
      </c>
      <c r="F24">
        <f t="shared" si="0"/>
        <v>-13.5</v>
      </c>
    </row>
    <row r="25" spans="1:6" x14ac:dyDescent="0.25">
      <c r="A25" t="s">
        <v>84</v>
      </c>
      <c r="B25">
        <v>24</v>
      </c>
      <c r="C25">
        <f>Prices!E25-18</f>
        <v>-18</v>
      </c>
      <c r="D25">
        <v>3</v>
      </c>
      <c r="E25" t="s">
        <v>85</v>
      </c>
      <c r="F25">
        <f t="shared" si="0"/>
        <v>-13.5</v>
      </c>
    </row>
    <row r="26" spans="1:6" x14ac:dyDescent="0.25">
      <c r="A26" t="s">
        <v>84</v>
      </c>
      <c r="B26">
        <v>25</v>
      </c>
      <c r="C26">
        <f>Prices!E26-18</f>
        <v>-18</v>
      </c>
      <c r="D26">
        <v>3</v>
      </c>
      <c r="E26" t="s">
        <v>85</v>
      </c>
      <c r="F26">
        <f t="shared" si="0"/>
        <v>-13.5</v>
      </c>
    </row>
    <row r="27" spans="1:6" x14ac:dyDescent="0.25">
      <c r="A27" t="s">
        <v>84</v>
      </c>
      <c r="B27">
        <v>26</v>
      </c>
      <c r="C27">
        <f>Prices!E27-18</f>
        <v>-18</v>
      </c>
      <c r="D27">
        <v>3</v>
      </c>
      <c r="E27" t="s">
        <v>85</v>
      </c>
      <c r="F27">
        <f t="shared" si="0"/>
        <v>-13.5</v>
      </c>
    </row>
    <row r="28" spans="1:6" x14ac:dyDescent="0.25">
      <c r="A28" t="s">
        <v>84</v>
      </c>
      <c r="B28">
        <v>27</v>
      </c>
      <c r="C28">
        <f>Prices!E28-18</f>
        <v>-18</v>
      </c>
      <c r="D28">
        <v>3</v>
      </c>
      <c r="E28" t="s">
        <v>85</v>
      </c>
      <c r="F28">
        <f t="shared" si="0"/>
        <v>-13.5</v>
      </c>
    </row>
    <row r="29" spans="1:6" x14ac:dyDescent="0.25">
      <c r="A29" t="s">
        <v>84</v>
      </c>
      <c r="B29">
        <v>28</v>
      </c>
      <c r="C29">
        <f>Prices!E29-18</f>
        <v>-18</v>
      </c>
      <c r="D29">
        <v>3</v>
      </c>
      <c r="E29" t="s">
        <v>85</v>
      </c>
      <c r="F29">
        <f t="shared" si="0"/>
        <v>-13.5</v>
      </c>
    </row>
    <row r="30" spans="1:6" x14ac:dyDescent="0.25">
      <c r="A30" t="s">
        <v>84</v>
      </c>
      <c r="B30">
        <v>29</v>
      </c>
      <c r="C30">
        <f>Prices!E30-18</f>
        <v>-18</v>
      </c>
      <c r="D30">
        <v>3</v>
      </c>
      <c r="E30" t="s">
        <v>85</v>
      </c>
      <c r="F30">
        <f t="shared" si="0"/>
        <v>-13.5</v>
      </c>
    </row>
    <row r="31" spans="1:6" x14ac:dyDescent="0.25">
      <c r="A31" t="s">
        <v>84</v>
      </c>
      <c r="B31">
        <v>30</v>
      </c>
      <c r="C31">
        <f>Prices!E31-18</f>
        <v>-18</v>
      </c>
      <c r="D31">
        <v>3</v>
      </c>
      <c r="E31" t="s">
        <v>85</v>
      </c>
      <c r="F31">
        <f t="shared" si="0"/>
        <v>-13.5</v>
      </c>
    </row>
    <row r="32" spans="1:6" x14ac:dyDescent="0.25">
      <c r="A32" t="s">
        <v>84</v>
      </c>
      <c r="B32">
        <v>31</v>
      </c>
      <c r="C32">
        <f>Prices!E32-18</f>
        <v>-18</v>
      </c>
      <c r="D32">
        <v>3</v>
      </c>
      <c r="E32" t="s">
        <v>85</v>
      </c>
      <c r="F32">
        <f t="shared" si="0"/>
        <v>-13.5</v>
      </c>
    </row>
    <row r="33" spans="1:6" x14ac:dyDescent="0.25">
      <c r="A33" t="s">
        <v>84</v>
      </c>
      <c r="B33">
        <v>32</v>
      </c>
      <c r="C33">
        <f>Prices!E33-18</f>
        <v>-18</v>
      </c>
      <c r="D33">
        <v>3</v>
      </c>
      <c r="E33" t="s">
        <v>85</v>
      </c>
      <c r="F33">
        <f t="shared" si="0"/>
        <v>-13.5</v>
      </c>
    </row>
    <row r="34" spans="1:6" x14ac:dyDescent="0.25">
      <c r="A34" t="s">
        <v>84</v>
      </c>
      <c r="B34">
        <v>33</v>
      </c>
      <c r="C34">
        <f>Prices!E34-18</f>
        <v>-18</v>
      </c>
      <c r="D34">
        <v>3</v>
      </c>
      <c r="E34" t="s">
        <v>85</v>
      </c>
      <c r="F34">
        <f t="shared" ref="F34:F65" si="1">C34*D34/4</f>
        <v>-13.5</v>
      </c>
    </row>
    <row r="35" spans="1:6" x14ac:dyDescent="0.25">
      <c r="A35" t="s">
        <v>84</v>
      </c>
      <c r="B35">
        <v>34</v>
      </c>
      <c r="C35">
        <f>Prices!E35-18</f>
        <v>-18</v>
      </c>
      <c r="D35">
        <v>3</v>
      </c>
      <c r="E35" t="s">
        <v>85</v>
      </c>
      <c r="F35">
        <f t="shared" si="1"/>
        <v>-13.5</v>
      </c>
    </row>
    <row r="36" spans="1:6" x14ac:dyDescent="0.25">
      <c r="A36" t="s">
        <v>84</v>
      </c>
      <c r="B36">
        <v>35</v>
      </c>
      <c r="C36">
        <f>Prices!E36-18</f>
        <v>-18</v>
      </c>
      <c r="D36">
        <v>3</v>
      </c>
      <c r="E36" t="s">
        <v>85</v>
      </c>
      <c r="F36">
        <f t="shared" si="1"/>
        <v>-13.5</v>
      </c>
    </row>
    <row r="37" spans="1:6" x14ac:dyDescent="0.25">
      <c r="A37" t="s">
        <v>84</v>
      </c>
      <c r="B37">
        <v>36</v>
      </c>
      <c r="C37">
        <f>Prices!E37-18</f>
        <v>-18</v>
      </c>
      <c r="D37">
        <v>3</v>
      </c>
      <c r="E37" t="s">
        <v>85</v>
      </c>
      <c r="F37">
        <f t="shared" si="1"/>
        <v>-13.5</v>
      </c>
    </row>
    <row r="38" spans="1:6" x14ac:dyDescent="0.25">
      <c r="A38" t="s">
        <v>84</v>
      </c>
      <c r="B38">
        <v>37</v>
      </c>
      <c r="C38">
        <f>Prices!E38-18</f>
        <v>-18</v>
      </c>
      <c r="D38">
        <v>3</v>
      </c>
      <c r="E38" t="s">
        <v>85</v>
      </c>
      <c r="F38">
        <f t="shared" si="1"/>
        <v>-13.5</v>
      </c>
    </row>
    <row r="39" spans="1:6" x14ac:dyDescent="0.25">
      <c r="A39" t="s">
        <v>84</v>
      </c>
      <c r="B39">
        <v>38</v>
      </c>
      <c r="C39">
        <f>Prices!E39-18</f>
        <v>-18</v>
      </c>
      <c r="D39">
        <v>3</v>
      </c>
      <c r="E39" t="s">
        <v>85</v>
      </c>
      <c r="F39">
        <f t="shared" si="1"/>
        <v>-13.5</v>
      </c>
    </row>
    <row r="40" spans="1:6" x14ac:dyDescent="0.25">
      <c r="A40" t="s">
        <v>84</v>
      </c>
      <c r="B40">
        <v>39</v>
      </c>
      <c r="C40">
        <f>Prices!E40-18</f>
        <v>-18</v>
      </c>
      <c r="D40">
        <v>3</v>
      </c>
      <c r="E40" t="s">
        <v>85</v>
      </c>
      <c r="F40">
        <f t="shared" si="1"/>
        <v>-13.5</v>
      </c>
    </row>
    <row r="41" spans="1:6" x14ac:dyDescent="0.25">
      <c r="A41" t="s">
        <v>84</v>
      </c>
      <c r="B41">
        <v>40</v>
      </c>
      <c r="C41">
        <f>Prices!E41-18</f>
        <v>-18</v>
      </c>
      <c r="D41">
        <v>3</v>
      </c>
      <c r="E41" t="s">
        <v>85</v>
      </c>
      <c r="F41">
        <f t="shared" si="1"/>
        <v>-13.5</v>
      </c>
    </row>
    <row r="42" spans="1:6" x14ac:dyDescent="0.25">
      <c r="A42" t="s">
        <v>84</v>
      </c>
      <c r="B42">
        <v>41</v>
      </c>
      <c r="C42">
        <f>Prices!E42-18</f>
        <v>-18</v>
      </c>
      <c r="D42">
        <v>3</v>
      </c>
      <c r="E42" t="s">
        <v>85</v>
      </c>
      <c r="F42">
        <f t="shared" si="1"/>
        <v>-13.5</v>
      </c>
    </row>
    <row r="43" spans="1:6" x14ac:dyDescent="0.25">
      <c r="A43" t="s">
        <v>84</v>
      </c>
      <c r="B43">
        <v>42</v>
      </c>
      <c r="C43">
        <f>Prices!E43-18</f>
        <v>-18</v>
      </c>
      <c r="D43">
        <v>3</v>
      </c>
      <c r="E43" t="s">
        <v>85</v>
      </c>
      <c r="F43">
        <f t="shared" si="1"/>
        <v>-13.5</v>
      </c>
    </row>
    <row r="44" spans="1:6" x14ac:dyDescent="0.25">
      <c r="A44" t="s">
        <v>84</v>
      </c>
      <c r="B44">
        <v>43</v>
      </c>
      <c r="C44">
        <f>Prices!E44-18</f>
        <v>-18</v>
      </c>
      <c r="D44">
        <v>3</v>
      </c>
      <c r="E44" t="s">
        <v>85</v>
      </c>
      <c r="F44">
        <f t="shared" si="1"/>
        <v>-13.5</v>
      </c>
    </row>
    <row r="45" spans="1:6" x14ac:dyDescent="0.25">
      <c r="A45" t="s">
        <v>84</v>
      </c>
      <c r="B45">
        <v>44</v>
      </c>
      <c r="C45">
        <f>Prices!E45-18</f>
        <v>-18</v>
      </c>
      <c r="D45">
        <v>3</v>
      </c>
      <c r="E45" t="s">
        <v>85</v>
      </c>
      <c r="F45">
        <f t="shared" si="1"/>
        <v>-13.5</v>
      </c>
    </row>
    <row r="46" spans="1:6" x14ac:dyDescent="0.25">
      <c r="A46" t="s">
        <v>84</v>
      </c>
      <c r="B46">
        <v>45</v>
      </c>
      <c r="C46">
        <f>Prices!E46-18</f>
        <v>-18</v>
      </c>
      <c r="D46">
        <v>3</v>
      </c>
      <c r="E46" t="s">
        <v>85</v>
      </c>
      <c r="F46">
        <f t="shared" si="1"/>
        <v>-13.5</v>
      </c>
    </row>
    <row r="47" spans="1:6" x14ac:dyDescent="0.25">
      <c r="A47" t="s">
        <v>84</v>
      </c>
      <c r="B47">
        <v>46</v>
      </c>
      <c r="C47">
        <f>Prices!E47-18</f>
        <v>-18</v>
      </c>
      <c r="D47">
        <v>3</v>
      </c>
      <c r="E47" t="s">
        <v>85</v>
      </c>
      <c r="F47">
        <f t="shared" si="1"/>
        <v>-13.5</v>
      </c>
    </row>
    <row r="48" spans="1:6" x14ac:dyDescent="0.25">
      <c r="A48" t="s">
        <v>84</v>
      </c>
      <c r="B48">
        <v>47</v>
      </c>
      <c r="C48">
        <f>Prices!E48-18</f>
        <v>-18</v>
      </c>
      <c r="D48">
        <v>3</v>
      </c>
      <c r="E48" t="s">
        <v>85</v>
      </c>
      <c r="F48">
        <f t="shared" si="1"/>
        <v>-13.5</v>
      </c>
    </row>
    <row r="49" spans="1:6" x14ac:dyDescent="0.25">
      <c r="A49" t="s">
        <v>84</v>
      </c>
      <c r="B49">
        <v>48</v>
      </c>
      <c r="C49">
        <f>Prices!E49-18</f>
        <v>-18</v>
      </c>
      <c r="D49">
        <v>3</v>
      </c>
      <c r="E49" t="s">
        <v>85</v>
      </c>
      <c r="F49">
        <f t="shared" si="1"/>
        <v>-13.5</v>
      </c>
    </row>
    <row r="50" spans="1:6" x14ac:dyDescent="0.25">
      <c r="A50" t="s">
        <v>84</v>
      </c>
      <c r="B50">
        <v>49</v>
      </c>
      <c r="C50">
        <f>Prices!E50-18</f>
        <v>-18</v>
      </c>
      <c r="D50">
        <v>3</v>
      </c>
      <c r="E50" t="s">
        <v>85</v>
      </c>
      <c r="F50">
        <f t="shared" si="1"/>
        <v>-13.5</v>
      </c>
    </row>
    <row r="51" spans="1:6" x14ac:dyDescent="0.25">
      <c r="A51" t="s">
        <v>84</v>
      </c>
      <c r="B51">
        <v>50</v>
      </c>
      <c r="C51">
        <f>Prices!E51-18</f>
        <v>-18</v>
      </c>
      <c r="D51">
        <v>3</v>
      </c>
      <c r="E51" t="s">
        <v>85</v>
      </c>
      <c r="F51">
        <f t="shared" si="1"/>
        <v>-13.5</v>
      </c>
    </row>
    <row r="52" spans="1:6" x14ac:dyDescent="0.25">
      <c r="A52" t="s">
        <v>84</v>
      </c>
      <c r="B52">
        <v>51</v>
      </c>
      <c r="C52">
        <f>Prices!E52-18</f>
        <v>-18</v>
      </c>
      <c r="D52">
        <v>3</v>
      </c>
      <c r="E52" t="s">
        <v>85</v>
      </c>
      <c r="F52">
        <f t="shared" si="1"/>
        <v>-13.5</v>
      </c>
    </row>
    <row r="53" spans="1:6" x14ac:dyDescent="0.25">
      <c r="A53" t="s">
        <v>84</v>
      </c>
      <c r="B53">
        <v>52</v>
      </c>
      <c r="C53">
        <f>Prices!E53-18</f>
        <v>-18</v>
      </c>
      <c r="D53">
        <v>3</v>
      </c>
      <c r="E53" t="s">
        <v>85</v>
      </c>
      <c r="F53">
        <f t="shared" si="1"/>
        <v>-13.5</v>
      </c>
    </row>
    <row r="54" spans="1:6" x14ac:dyDescent="0.25">
      <c r="A54" t="s">
        <v>84</v>
      </c>
      <c r="B54">
        <v>53</v>
      </c>
      <c r="C54">
        <f>Prices!E54-18</f>
        <v>-18</v>
      </c>
      <c r="D54">
        <v>3</v>
      </c>
      <c r="E54" t="s">
        <v>85</v>
      </c>
      <c r="F54">
        <f t="shared" si="1"/>
        <v>-13.5</v>
      </c>
    </row>
    <row r="55" spans="1:6" x14ac:dyDescent="0.25">
      <c r="A55" t="s">
        <v>84</v>
      </c>
      <c r="B55">
        <v>54</v>
      </c>
      <c r="C55">
        <f>Prices!E55-18</f>
        <v>-18</v>
      </c>
      <c r="D55">
        <v>3</v>
      </c>
      <c r="E55" t="s">
        <v>85</v>
      </c>
      <c r="F55">
        <f t="shared" si="1"/>
        <v>-13.5</v>
      </c>
    </row>
    <row r="56" spans="1:6" x14ac:dyDescent="0.25">
      <c r="A56" t="s">
        <v>84</v>
      </c>
      <c r="B56">
        <v>55</v>
      </c>
      <c r="C56">
        <f>Prices!E56-18</f>
        <v>-18</v>
      </c>
      <c r="D56">
        <v>3</v>
      </c>
      <c r="E56" t="s">
        <v>85</v>
      </c>
      <c r="F56">
        <f t="shared" si="1"/>
        <v>-13.5</v>
      </c>
    </row>
    <row r="57" spans="1:6" x14ac:dyDescent="0.25">
      <c r="A57" t="s">
        <v>84</v>
      </c>
      <c r="B57">
        <v>56</v>
      </c>
      <c r="C57">
        <f>Prices!E57-18</f>
        <v>-18</v>
      </c>
      <c r="D57">
        <v>3</v>
      </c>
      <c r="E57" t="s">
        <v>85</v>
      </c>
      <c r="F57">
        <f t="shared" si="1"/>
        <v>-13.5</v>
      </c>
    </row>
    <row r="58" spans="1:6" x14ac:dyDescent="0.25">
      <c r="A58" t="s">
        <v>84</v>
      </c>
      <c r="B58">
        <v>57</v>
      </c>
      <c r="C58">
        <f>Prices!E58-18</f>
        <v>-18</v>
      </c>
      <c r="D58">
        <v>3</v>
      </c>
      <c r="E58" t="s">
        <v>85</v>
      </c>
      <c r="F58">
        <f t="shared" si="1"/>
        <v>-13.5</v>
      </c>
    </row>
    <row r="59" spans="1:6" x14ac:dyDescent="0.25">
      <c r="A59" t="s">
        <v>84</v>
      </c>
      <c r="B59">
        <v>58</v>
      </c>
      <c r="C59">
        <f>Prices!E59-18</f>
        <v>-18</v>
      </c>
      <c r="D59">
        <v>3</v>
      </c>
      <c r="E59" t="s">
        <v>85</v>
      </c>
      <c r="F59">
        <f t="shared" si="1"/>
        <v>-13.5</v>
      </c>
    </row>
    <row r="60" spans="1:6" x14ac:dyDescent="0.25">
      <c r="A60" t="s">
        <v>84</v>
      </c>
      <c r="B60">
        <v>59</v>
      </c>
      <c r="C60">
        <f>Prices!E60-18</f>
        <v>-18</v>
      </c>
      <c r="D60">
        <v>3</v>
      </c>
      <c r="E60" t="s">
        <v>85</v>
      </c>
      <c r="F60">
        <f t="shared" si="1"/>
        <v>-13.5</v>
      </c>
    </row>
    <row r="61" spans="1:6" x14ac:dyDescent="0.25">
      <c r="A61" t="s">
        <v>84</v>
      </c>
      <c r="B61">
        <v>60</v>
      </c>
      <c r="C61">
        <f>Prices!E61-18</f>
        <v>-18</v>
      </c>
      <c r="D61">
        <v>3</v>
      </c>
      <c r="E61" t="s">
        <v>85</v>
      </c>
      <c r="F61">
        <f t="shared" si="1"/>
        <v>-13.5</v>
      </c>
    </row>
    <row r="62" spans="1:6" x14ac:dyDescent="0.25">
      <c r="A62" t="s">
        <v>84</v>
      </c>
      <c r="B62">
        <v>61</v>
      </c>
      <c r="C62">
        <f>Prices!E62-18</f>
        <v>-18</v>
      </c>
      <c r="D62">
        <v>3</v>
      </c>
      <c r="E62" t="s">
        <v>85</v>
      </c>
      <c r="F62">
        <f t="shared" si="1"/>
        <v>-13.5</v>
      </c>
    </row>
    <row r="63" spans="1:6" x14ac:dyDescent="0.25">
      <c r="A63" t="s">
        <v>84</v>
      </c>
      <c r="B63">
        <v>62</v>
      </c>
      <c r="C63">
        <f>Prices!E63-18</f>
        <v>-18</v>
      </c>
      <c r="D63">
        <v>3</v>
      </c>
      <c r="E63" t="s">
        <v>85</v>
      </c>
      <c r="F63">
        <f t="shared" si="1"/>
        <v>-13.5</v>
      </c>
    </row>
    <row r="64" spans="1:6" x14ac:dyDescent="0.25">
      <c r="A64" t="s">
        <v>84</v>
      </c>
      <c r="B64">
        <v>63</v>
      </c>
      <c r="C64">
        <f>Prices!E64-18</f>
        <v>-18</v>
      </c>
      <c r="D64">
        <v>3</v>
      </c>
      <c r="E64" t="s">
        <v>85</v>
      </c>
      <c r="F64">
        <f t="shared" si="1"/>
        <v>-13.5</v>
      </c>
    </row>
    <row r="65" spans="1:6" x14ac:dyDescent="0.25">
      <c r="A65" t="s">
        <v>84</v>
      </c>
      <c r="B65">
        <v>64</v>
      </c>
      <c r="C65">
        <f>Prices!E65-18</f>
        <v>-18</v>
      </c>
      <c r="D65">
        <v>3</v>
      </c>
      <c r="E65" t="s">
        <v>85</v>
      </c>
      <c r="F65">
        <f t="shared" si="1"/>
        <v>-13.5</v>
      </c>
    </row>
    <row r="66" spans="1:6" x14ac:dyDescent="0.25">
      <c r="A66" t="s">
        <v>84</v>
      </c>
      <c r="B66">
        <v>65</v>
      </c>
      <c r="C66">
        <f>Prices!E66-18</f>
        <v>-18</v>
      </c>
      <c r="D66">
        <v>3</v>
      </c>
      <c r="E66" t="s">
        <v>85</v>
      </c>
      <c r="F66">
        <f t="shared" ref="F66:F97" si="2">C66*D66/4</f>
        <v>-13.5</v>
      </c>
    </row>
    <row r="67" spans="1:6" x14ac:dyDescent="0.25">
      <c r="A67" t="s">
        <v>84</v>
      </c>
      <c r="B67">
        <v>66</v>
      </c>
      <c r="C67">
        <f>Prices!E67-18</f>
        <v>-18</v>
      </c>
      <c r="D67">
        <v>3</v>
      </c>
      <c r="E67" t="s">
        <v>85</v>
      </c>
      <c r="F67">
        <f t="shared" si="2"/>
        <v>-13.5</v>
      </c>
    </row>
    <row r="68" spans="1:6" x14ac:dyDescent="0.25">
      <c r="A68" t="s">
        <v>84</v>
      </c>
      <c r="B68">
        <v>67</v>
      </c>
      <c r="C68">
        <f>Prices!E68-18</f>
        <v>-18</v>
      </c>
      <c r="D68">
        <v>3</v>
      </c>
      <c r="E68" t="s">
        <v>85</v>
      </c>
      <c r="F68">
        <f t="shared" si="2"/>
        <v>-13.5</v>
      </c>
    </row>
    <row r="69" spans="1:6" x14ac:dyDescent="0.25">
      <c r="A69" t="s">
        <v>84</v>
      </c>
      <c r="B69">
        <v>68</v>
      </c>
      <c r="C69">
        <f>Prices!E69-18</f>
        <v>-18</v>
      </c>
      <c r="D69">
        <v>3</v>
      </c>
      <c r="E69" t="s">
        <v>85</v>
      </c>
      <c r="F69">
        <f t="shared" si="2"/>
        <v>-13.5</v>
      </c>
    </row>
    <row r="70" spans="1:6" x14ac:dyDescent="0.25">
      <c r="A70" t="s">
        <v>84</v>
      </c>
      <c r="B70">
        <v>69</v>
      </c>
      <c r="C70">
        <f>Prices!E70-18</f>
        <v>-18</v>
      </c>
      <c r="D70">
        <v>3</v>
      </c>
      <c r="E70" t="s">
        <v>85</v>
      </c>
      <c r="F70">
        <f t="shared" si="2"/>
        <v>-13.5</v>
      </c>
    </row>
    <row r="71" spans="1:6" x14ac:dyDescent="0.25">
      <c r="A71" t="s">
        <v>84</v>
      </c>
      <c r="B71">
        <v>70</v>
      </c>
      <c r="C71">
        <f>Prices!E71-18</f>
        <v>-18</v>
      </c>
      <c r="D71">
        <v>3</v>
      </c>
      <c r="E71" t="s">
        <v>85</v>
      </c>
      <c r="F71">
        <f t="shared" si="2"/>
        <v>-13.5</v>
      </c>
    </row>
    <row r="72" spans="1:6" x14ac:dyDescent="0.25">
      <c r="A72" t="s">
        <v>84</v>
      </c>
      <c r="B72">
        <v>71</v>
      </c>
      <c r="C72">
        <f>Prices!E72-18</f>
        <v>-18</v>
      </c>
      <c r="D72">
        <v>3</v>
      </c>
      <c r="E72" t="s">
        <v>85</v>
      </c>
      <c r="F72">
        <f t="shared" si="2"/>
        <v>-13.5</v>
      </c>
    </row>
    <row r="73" spans="1:6" x14ac:dyDescent="0.25">
      <c r="A73" t="s">
        <v>84</v>
      </c>
      <c r="B73">
        <v>72</v>
      </c>
      <c r="C73">
        <f>Prices!E73-18</f>
        <v>-18</v>
      </c>
      <c r="D73">
        <v>3</v>
      </c>
      <c r="E73" t="s">
        <v>85</v>
      </c>
      <c r="F73">
        <f t="shared" si="2"/>
        <v>-13.5</v>
      </c>
    </row>
    <row r="74" spans="1:6" x14ac:dyDescent="0.25">
      <c r="A74" t="s">
        <v>84</v>
      </c>
      <c r="B74">
        <v>73</v>
      </c>
      <c r="C74">
        <f>Prices!E74-18</f>
        <v>-18</v>
      </c>
      <c r="D74">
        <v>3</v>
      </c>
      <c r="E74" t="s">
        <v>85</v>
      </c>
      <c r="F74">
        <f t="shared" si="2"/>
        <v>-13.5</v>
      </c>
    </row>
    <row r="75" spans="1:6" x14ac:dyDescent="0.25">
      <c r="A75" t="s">
        <v>84</v>
      </c>
      <c r="B75">
        <v>74</v>
      </c>
      <c r="C75">
        <f>Prices!E75-18</f>
        <v>-18</v>
      </c>
      <c r="D75">
        <v>3</v>
      </c>
      <c r="E75" t="s">
        <v>85</v>
      </c>
      <c r="F75">
        <f t="shared" si="2"/>
        <v>-13.5</v>
      </c>
    </row>
    <row r="76" spans="1:6" x14ac:dyDescent="0.25">
      <c r="A76" t="s">
        <v>84</v>
      </c>
      <c r="B76">
        <v>75</v>
      </c>
      <c r="C76">
        <f>Prices!E76-18</f>
        <v>-18</v>
      </c>
      <c r="D76">
        <v>3</v>
      </c>
      <c r="E76" t="s">
        <v>85</v>
      </c>
      <c r="F76">
        <f t="shared" si="2"/>
        <v>-13.5</v>
      </c>
    </row>
    <row r="77" spans="1:6" x14ac:dyDescent="0.25">
      <c r="A77" t="s">
        <v>84</v>
      </c>
      <c r="B77">
        <v>76</v>
      </c>
      <c r="C77">
        <f>Prices!E77-18</f>
        <v>-18</v>
      </c>
      <c r="D77">
        <v>3</v>
      </c>
      <c r="E77" t="s">
        <v>85</v>
      </c>
      <c r="F77">
        <f t="shared" si="2"/>
        <v>-13.5</v>
      </c>
    </row>
    <row r="78" spans="1:6" x14ac:dyDescent="0.25">
      <c r="A78" t="s">
        <v>84</v>
      </c>
      <c r="B78">
        <v>77</v>
      </c>
      <c r="C78">
        <f>Prices!E78-18</f>
        <v>-18</v>
      </c>
      <c r="D78">
        <v>3</v>
      </c>
      <c r="E78" t="s">
        <v>85</v>
      </c>
      <c r="F78">
        <f t="shared" si="2"/>
        <v>-13.5</v>
      </c>
    </row>
    <row r="79" spans="1:6" x14ac:dyDescent="0.25">
      <c r="A79" t="s">
        <v>84</v>
      </c>
      <c r="B79">
        <v>78</v>
      </c>
      <c r="C79">
        <f>Prices!E79-18</f>
        <v>-18</v>
      </c>
      <c r="D79">
        <v>3</v>
      </c>
      <c r="E79" t="s">
        <v>85</v>
      </c>
      <c r="F79">
        <f t="shared" si="2"/>
        <v>-13.5</v>
      </c>
    </row>
    <row r="80" spans="1:6" x14ac:dyDescent="0.25">
      <c r="A80" t="s">
        <v>84</v>
      </c>
      <c r="B80">
        <v>79</v>
      </c>
      <c r="C80">
        <f>Prices!E80-18</f>
        <v>-18</v>
      </c>
      <c r="D80">
        <v>3</v>
      </c>
      <c r="E80" t="s">
        <v>85</v>
      </c>
      <c r="F80">
        <f t="shared" si="2"/>
        <v>-13.5</v>
      </c>
    </row>
    <row r="81" spans="1:6" x14ac:dyDescent="0.25">
      <c r="A81" t="s">
        <v>84</v>
      </c>
      <c r="B81">
        <v>80</v>
      </c>
      <c r="C81">
        <f>Prices!E81-18</f>
        <v>-18</v>
      </c>
      <c r="D81">
        <v>3</v>
      </c>
      <c r="E81" t="s">
        <v>85</v>
      </c>
      <c r="F81">
        <f t="shared" si="2"/>
        <v>-13.5</v>
      </c>
    </row>
    <row r="82" spans="1:6" x14ac:dyDescent="0.25">
      <c r="A82" t="s">
        <v>84</v>
      </c>
      <c r="B82">
        <v>81</v>
      </c>
      <c r="C82">
        <f>Prices!E82-18</f>
        <v>-18</v>
      </c>
      <c r="D82">
        <v>3</v>
      </c>
      <c r="E82" t="s">
        <v>85</v>
      </c>
      <c r="F82">
        <f t="shared" si="2"/>
        <v>-13.5</v>
      </c>
    </row>
    <row r="83" spans="1:6" x14ac:dyDescent="0.25">
      <c r="A83" t="s">
        <v>84</v>
      </c>
      <c r="B83">
        <v>82</v>
      </c>
      <c r="C83">
        <f>Prices!E83-18</f>
        <v>-18</v>
      </c>
      <c r="D83">
        <v>3</v>
      </c>
      <c r="E83" t="s">
        <v>85</v>
      </c>
      <c r="F83">
        <f t="shared" si="2"/>
        <v>-13.5</v>
      </c>
    </row>
    <row r="84" spans="1:6" x14ac:dyDescent="0.25">
      <c r="A84" t="s">
        <v>84</v>
      </c>
      <c r="B84">
        <v>83</v>
      </c>
      <c r="C84">
        <f>Prices!E84-18</f>
        <v>-18</v>
      </c>
      <c r="D84">
        <v>3</v>
      </c>
      <c r="E84" t="s">
        <v>85</v>
      </c>
      <c r="F84">
        <f t="shared" si="2"/>
        <v>-13.5</v>
      </c>
    </row>
    <row r="85" spans="1:6" x14ac:dyDescent="0.25">
      <c r="A85" t="s">
        <v>84</v>
      </c>
      <c r="B85">
        <v>84</v>
      </c>
      <c r="C85">
        <f>Prices!E85-18</f>
        <v>-18</v>
      </c>
      <c r="D85">
        <v>3</v>
      </c>
      <c r="E85" t="s">
        <v>85</v>
      </c>
      <c r="F85">
        <f t="shared" si="2"/>
        <v>-13.5</v>
      </c>
    </row>
    <row r="86" spans="1:6" x14ac:dyDescent="0.25">
      <c r="A86" t="s">
        <v>84</v>
      </c>
      <c r="B86">
        <v>85</v>
      </c>
      <c r="C86">
        <f>Prices!E86-18</f>
        <v>-18</v>
      </c>
      <c r="D86">
        <v>3</v>
      </c>
      <c r="E86" t="s">
        <v>85</v>
      </c>
      <c r="F86">
        <f t="shared" si="2"/>
        <v>-13.5</v>
      </c>
    </row>
    <row r="87" spans="1:6" x14ac:dyDescent="0.25">
      <c r="A87" t="s">
        <v>84</v>
      </c>
      <c r="B87">
        <v>86</v>
      </c>
      <c r="C87">
        <f>Prices!E87-18</f>
        <v>-18</v>
      </c>
      <c r="D87">
        <v>3</v>
      </c>
      <c r="E87" t="s">
        <v>85</v>
      </c>
      <c r="F87">
        <f t="shared" si="2"/>
        <v>-13.5</v>
      </c>
    </row>
    <row r="88" spans="1:6" x14ac:dyDescent="0.25">
      <c r="A88" t="s">
        <v>84</v>
      </c>
      <c r="B88">
        <v>87</v>
      </c>
      <c r="C88">
        <f>Prices!E88-18</f>
        <v>-18</v>
      </c>
      <c r="D88">
        <v>3</v>
      </c>
      <c r="E88" t="s">
        <v>85</v>
      </c>
      <c r="F88">
        <f t="shared" si="2"/>
        <v>-13.5</v>
      </c>
    </row>
    <row r="89" spans="1:6" x14ac:dyDescent="0.25">
      <c r="A89" t="s">
        <v>84</v>
      </c>
      <c r="B89">
        <v>88</v>
      </c>
      <c r="C89">
        <f>Prices!E89-18</f>
        <v>-18</v>
      </c>
      <c r="D89">
        <v>3</v>
      </c>
      <c r="E89" t="s">
        <v>85</v>
      </c>
      <c r="F89">
        <f t="shared" si="2"/>
        <v>-13.5</v>
      </c>
    </row>
    <row r="90" spans="1:6" x14ac:dyDescent="0.25">
      <c r="A90" t="s">
        <v>84</v>
      </c>
      <c r="B90">
        <v>89</v>
      </c>
      <c r="C90">
        <f>Prices!E90-18</f>
        <v>-18</v>
      </c>
      <c r="D90">
        <v>3</v>
      </c>
      <c r="E90" t="s">
        <v>85</v>
      </c>
      <c r="F90">
        <f t="shared" si="2"/>
        <v>-13.5</v>
      </c>
    </row>
    <row r="91" spans="1:6" x14ac:dyDescent="0.25">
      <c r="A91" t="s">
        <v>84</v>
      </c>
      <c r="B91">
        <v>90</v>
      </c>
      <c r="C91">
        <f>Prices!E91-18</f>
        <v>-18</v>
      </c>
      <c r="D91">
        <v>3</v>
      </c>
      <c r="E91" t="s">
        <v>85</v>
      </c>
      <c r="F91">
        <f t="shared" si="2"/>
        <v>-13.5</v>
      </c>
    </row>
    <row r="92" spans="1:6" x14ac:dyDescent="0.25">
      <c r="A92" t="s">
        <v>84</v>
      </c>
      <c r="B92">
        <v>91</v>
      </c>
      <c r="C92">
        <f>Prices!E92-18</f>
        <v>-18</v>
      </c>
      <c r="D92">
        <v>3</v>
      </c>
      <c r="E92" t="s">
        <v>85</v>
      </c>
      <c r="F92">
        <f t="shared" si="2"/>
        <v>-13.5</v>
      </c>
    </row>
    <row r="93" spans="1:6" x14ac:dyDescent="0.25">
      <c r="A93" t="s">
        <v>84</v>
      </c>
      <c r="B93">
        <v>92</v>
      </c>
      <c r="C93">
        <f>Prices!E93-18</f>
        <v>-18</v>
      </c>
      <c r="D93">
        <v>3</v>
      </c>
      <c r="E93" t="s">
        <v>85</v>
      </c>
      <c r="F93">
        <f t="shared" si="2"/>
        <v>-13.5</v>
      </c>
    </row>
    <row r="94" spans="1:6" x14ac:dyDescent="0.25">
      <c r="A94" t="s">
        <v>84</v>
      </c>
      <c r="B94">
        <v>93</v>
      </c>
      <c r="C94">
        <f>Prices!E94-18</f>
        <v>-18</v>
      </c>
      <c r="D94">
        <v>3</v>
      </c>
      <c r="E94" t="s">
        <v>85</v>
      </c>
      <c r="F94">
        <f t="shared" si="2"/>
        <v>-13.5</v>
      </c>
    </row>
    <row r="95" spans="1:6" x14ac:dyDescent="0.25">
      <c r="A95" t="s">
        <v>84</v>
      </c>
      <c r="B95">
        <v>94</v>
      </c>
      <c r="C95">
        <f>Prices!E95-18</f>
        <v>-18</v>
      </c>
      <c r="D95">
        <v>3</v>
      </c>
      <c r="E95" t="s">
        <v>85</v>
      </c>
      <c r="F95">
        <f t="shared" si="2"/>
        <v>-13.5</v>
      </c>
    </row>
    <row r="96" spans="1:6" x14ac:dyDescent="0.25">
      <c r="A96" t="s">
        <v>84</v>
      </c>
      <c r="B96">
        <v>95</v>
      </c>
      <c r="C96">
        <f>Prices!E96-18</f>
        <v>-18</v>
      </c>
      <c r="D96">
        <v>3</v>
      </c>
      <c r="E96" t="s">
        <v>85</v>
      </c>
      <c r="F96">
        <f t="shared" si="2"/>
        <v>-13.5</v>
      </c>
    </row>
    <row r="97" spans="1:6" x14ac:dyDescent="0.25">
      <c r="A97" t="s">
        <v>84</v>
      </c>
      <c r="B97">
        <v>96</v>
      </c>
      <c r="C97">
        <f>Prices!E97-18</f>
        <v>-18</v>
      </c>
      <c r="D97">
        <v>3</v>
      </c>
      <c r="E97" t="s">
        <v>85</v>
      </c>
      <c r="F97">
        <f t="shared" si="2"/>
        <v>-13.5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9"/>
  <dimension ref="A1:F97"/>
  <sheetViews>
    <sheetView workbookViewId="0">
      <selection activeCell="M10" sqref="L10:M11"/>
    </sheetView>
  </sheetViews>
  <sheetFormatPr defaultRowHeight="15" x14ac:dyDescent="0.25"/>
  <sheetData>
    <row r="1" spans="1:6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93</v>
      </c>
    </row>
    <row r="2" spans="1:6" x14ac:dyDescent="0.25">
      <c r="A2" t="s">
        <v>84</v>
      </c>
      <c r="B2">
        <v>1</v>
      </c>
      <c r="C2">
        <f>Prices!E2-25</f>
        <v>-25</v>
      </c>
      <c r="D2">
        <v>3</v>
      </c>
      <c r="E2" t="s">
        <v>85</v>
      </c>
      <c r="F2">
        <f t="shared" ref="F2:F33" si="0">C2*D2/4</f>
        <v>-18.75</v>
      </c>
    </row>
    <row r="3" spans="1:6" x14ac:dyDescent="0.25">
      <c r="A3" t="s">
        <v>84</v>
      </c>
      <c r="B3">
        <v>2</v>
      </c>
      <c r="C3">
        <f>Prices!E3-25</f>
        <v>-25</v>
      </c>
      <c r="D3">
        <v>3</v>
      </c>
      <c r="E3" t="s">
        <v>85</v>
      </c>
      <c r="F3">
        <f t="shared" si="0"/>
        <v>-18.75</v>
      </c>
    </row>
    <row r="4" spans="1:6" x14ac:dyDescent="0.25">
      <c r="A4" t="s">
        <v>84</v>
      </c>
      <c r="B4">
        <v>3</v>
      </c>
      <c r="C4">
        <f>Prices!E4-25</f>
        <v>-25</v>
      </c>
      <c r="D4">
        <v>3</v>
      </c>
      <c r="E4" t="s">
        <v>85</v>
      </c>
      <c r="F4">
        <f t="shared" si="0"/>
        <v>-18.75</v>
      </c>
    </row>
    <row r="5" spans="1:6" x14ac:dyDescent="0.25">
      <c r="A5" t="s">
        <v>84</v>
      </c>
      <c r="B5">
        <v>4</v>
      </c>
      <c r="C5">
        <f>Prices!E5-25</f>
        <v>-25</v>
      </c>
      <c r="D5">
        <v>3</v>
      </c>
      <c r="E5" t="s">
        <v>85</v>
      </c>
      <c r="F5">
        <f t="shared" si="0"/>
        <v>-18.75</v>
      </c>
    </row>
    <row r="6" spans="1:6" x14ac:dyDescent="0.25">
      <c r="A6" t="s">
        <v>84</v>
      </c>
      <c r="B6">
        <v>5</v>
      </c>
      <c r="C6">
        <f>Prices!E6-25</f>
        <v>-25</v>
      </c>
      <c r="D6">
        <v>3</v>
      </c>
      <c r="E6" t="s">
        <v>85</v>
      </c>
      <c r="F6">
        <f t="shared" si="0"/>
        <v>-18.75</v>
      </c>
    </row>
    <row r="7" spans="1:6" x14ac:dyDescent="0.25">
      <c r="A7" t="s">
        <v>84</v>
      </c>
      <c r="B7">
        <v>6</v>
      </c>
      <c r="C7">
        <f>Prices!E7-25</f>
        <v>-25</v>
      </c>
      <c r="D7">
        <v>3</v>
      </c>
      <c r="E7" t="s">
        <v>85</v>
      </c>
      <c r="F7">
        <f t="shared" si="0"/>
        <v>-18.75</v>
      </c>
    </row>
    <row r="8" spans="1:6" x14ac:dyDescent="0.25">
      <c r="A8" t="s">
        <v>84</v>
      </c>
      <c r="B8">
        <v>7</v>
      </c>
      <c r="C8">
        <f>Prices!E8-25</f>
        <v>-25</v>
      </c>
      <c r="D8">
        <v>3</v>
      </c>
      <c r="E8" t="s">
        <v>85</v>
      </c>
      <c r="F8">
        <f t="shared" si="0"/>
        <v>-18.75</v>
      </c>
    </row>
    <row r="9" spans="1:6" x14ac:dyDescent="0.25">
      <c r="A9" t="s">
        <v>84</v>
      </c>
      <c r="B9">
        <v>8</v>
      </c>
      <c r="C9">
        <f>Prices!E9-25</f>
        <v>-25</v>
      </c>
      <c r="D9">
        <v>3</v>
      </c>
      <c r="E9" t="s">
        <v>85</v>
      </c>
      <c r="F9">
        <f t="shared" si="0"/>
        <v>-18.75</v>
      </c>
    </row>
    <row r="10" spans="1:6" x14ac:dyDescent="0.25">
      <c r="A10" t="s">
        <v>84</v>
      </c>
      <c r="B10">
        <v>9</v>
      </c>
      <c r="C10">
        <f>Prices!E10-25</f>
        <v>-25</v>
      </c>
      <c r="D10">
        <v>3</v>
      </c>
      <c r="E10" t="s">
        <v>85</v>
      </c>
      <c r="F10">
        <f t="shared" si="0"/>
        <v>-18.75</v>
      </c>
    </row>
    <row r="11" spans="1:6" x14ac:dyDescent="0.25">
      <c r="A11" t="s">
        <v>84</v>
      </c>
      <c r="B11">
        <v>10</v>
      </c>
      <c r="C11">
        <f>Prices!E11-25</f>
        <v>-25</v>
      </c>
      <c r="D11">
        <v>3</v>
      </c>
      <c r="E11" t="s">
        <v>85</v>
      </c>
      <c r="F11">
        <f t="shared" si="0"/>
        <v>-18.75</v>
      </c>
    </row>
    <row r="12" spans="1:6" x14ac:dyDescent="0.25">
      <c r="A12" t="s">
        <v>84</v>
      </c>
      <c r="B12">
        <v>11</v>
      </c>
      <c r="C12">
        <f>Prices!E12-25</f>
        <v>-25</v>
      </c>
      <c r="D12">
        <v>3</v>
      </c>
      <c r="E12" t="s">
        <v>85</v>
      </c>
      <c r="F12">
        <f t="shared" si="0"/>
        <v>-18.75</v>
      </c>
    </row>
    <row r="13" spans="1:6" x14ac:dyDescent="0.25">
      <c r="A13" t="s">
        <v>84</v>
      </c>
      <c r="B13">
        <v>12</v>
      </c>
      <c r="C13">
        <f>Prices!E13-25</f>
        <v>-25</v>
      </c>
      <c r="D13">
        <v>3</v>
      </c>
      <c r="E13" t="s">
        <v>85</v>
      </c>
      <c r="F13">
        <f t="shared" si="0"/>
        <v>-18.75</v>
      </c>
    </row>
    <row r="14" spans="1:6" x14ac:dyDescent="0.25">
      <c r="A14" t="s">
        <v>84</v>
      </c>
      <c r="B14">
        <v>13</v>
      </c>
      <c r="C14">
        <f>Prices!E14-25</f>
        <v>-25</v>
      </c>
      <c r="D14">
        <v>3</v>
      </c>
      <c r="E14" t="s">
        <v>85</v>
      </c>
      <c r="F14">
        <f t="shared" si="0"/>
        <v>-18.75</v>
      </c>
    </row>
    <row r="15" spans="1:6" x14ac:dyDescent="0.25">
      <c r="A15" t="s">
        <v>84</v>
      </c>
      <c r="B15">
        <v>14</v>
      </c>
      <c r="C15">
        <f>Prices!E15-25</f>
        <v>-25</v>
      </c>
      <c r="D15">
        <v>3</v>
      </c>
      <c r="E15" t="s">
        <v>85</v>
      </c>
      <c r="F15">
        <f t="shared" si="0"/>
        <v>-18.75</v>
      </c>
    </row>
    <row r="16" spans="1:6" x14ac:dyDescent="0.25">
      <c r="A16" t="s">
        <v>84</v>
      </c>
      <c r="B16">
        <v>15</v>
      </c>
      <c r="C16">
        <f>Prices!E16-25</f>
        <v>-25</v>
      </c>
      <c r="D16">
        <v>3</v>
      </c>
      <c r="E16" t="s">
        <v>85</v>
      </c>
      <c r="F16">
        <f t="shared" si="0"/>
        <v>-18.75</v>
      </c>
    </row>
    <row r="17" spans="1:6" x14ac:dyDescent="0.25">
      <c r="A17" t="s">
        <v>84</v>
      </c>
      <c r="B17">
        <v>16</v>
      </c>
      <c r="C17">
        <f>Prices!E17-25</f>
        <v>-25</v>
      </c>
      <c r="D17">
        <v>3</v>
      </c>
      <c r="E17" t="s">
        <v>85</v>
      </c>
      <c r="F17">
        <f t="shared" si="0"/>
        <v>-18.75</v>
      </c>
    </row>
    <row r="18" spans="1:6" x14ac:dyDescent="0.25">
      <c r="A18" t="s">
        <v>84</v>
      </c>
      <c r="B18">
        <v>17</v>
      </c>
      <c r="C18">
        <f>Prices!E18-25</f>
        <v>-25</v>
      </c>
      <c r="D18">
        <v>3</v>
      </c>
      <c r="E18" t="s">
        <v>85</v>
      </c>
      <c r="F18">
        <f t="shared" si="0"/>
        <v>-18.75</v>
      </c>
    </row>
    <row r="19" spans="1:6" x14ac:dyDescent="0.25">
      <c r="A19" t="s">
        <v>84</v>
      </c>
      <c r="B19">
        <v>18</v>
      </c>
      <c r="C19">
        <f>Prices!E19-25</f>
        <v>-25</v>
      </c>
      <c r="D19">
        <v>3</v>
      </c>
      <c r="E19" t="s">
        <v>85</v>
      </c>
      <c r="F19">
        <f t="shared" si="0"/>
        <v>-18.75</v>
      </c>
    </row>
    <row r="20" spans="1:6" x14ac:dyDescent="0.25">
      <c r="A20" t="s">
        <v>84</v>
      </c>
      <c r="B20">
        <v>19</v>
      </c>
      <c r="C20">
        <f>Prices!E20-25</f>
        <v>-25</v>
      </c>
      <c r="D20">
        <v>3</v>
      </c>
      <c r="E20" t="s">
        <v>85</v>
      </c>
      <c r="F20">
        <f t="shared" si="0"/>
        <v>-18.75</v>
      </c>
    </row>
    <row r="21" spans="1:6" x14ac:dyDescent="0.25">
      <c r="A21" t="s">
        <v>84</v>
      </c>
      <c r="B21">
        <v>20</v>
      </c>
      <c r="C21">
        <f>Prices!E21-25</f>
        <v>-25</v>
      </c>
      <c r="D21">
        <v>3</v>
      </c>
      <c r="E21" t="s">
        <v>85</v>
      </c>
      <c r="F21">
        <f t="shared" si="0"/>
        <v>-18.75</v>
      </c>
    </row>
    <row r="22" spans="1:6" x14ac:dyDescent="0.25">
      <c r="A22" t="s">
        <v>84</v>
      </c>
      <c r="B22">
        <v>21</v>
      </c>
      <c r="C22">
        <f>Prices!E22-25</f>
        <v>-25</v>
      </c>
      <c r="D22">
        <v>3</v>
      </c>
      <c r="E22" t="s">
        <v>85</v>
      </c>
      <c r="F22">
        <f t="shared" si="0"/>
        <v>-18.75</v>
      </c>
    </row>
    <row r="23" spans="1:6" x14ac:dyDescent="0.25">
      <c r="A23" t="s">
        <v>84</v>
      </c>
      <c r="B23">
        <v>22</v>
      </c>
      <c r="C23">
        <f>Prices!E23-25</f>
        <v>-25</v>
      </c>
      <c r="D23">
        <v>3</v>
      </c>
      <c r="E23" t="s">
        <v>85</v>
      </c>
      <c r="F23">
        <f t="shared" si="0"/>
        <v>-18.75</v>
      </c>
    </row>
    <row r="24" spans="1:6" x14ac:dyDescent="0.25">
      <c r="A24" t="s">
        <v>84</v>
      </c>
      <c r="B24">
        <v>23</v>
      </c>
      <c r="C24">
        <f>Prices!E24-25</f>
        <v>-25</v>
      </c>
      <c r="D24">
        <v>3</v>
      </c>
      <c r="E24" t="s">
        <v>85</v>
      </c>
      <c r="F24">
        <f t="shared" si="0"/>
        <v>-18.75</v>
      </c>
    </row>
    <row r="25" spans="1:6" x14ac:dyDescent="0.25">
      <c r="A25" t="s">
        <v>84</v>
      </c>
      <c r="B25">
        <v>24</v>
      </c>
      <c r="C25">
        <f>Prices!E25-25</f>
        <v>-25</v>
      </c>
      <c r="D25">
        <v>3</v>
      </c>
      <c r="E25" t="s">
        <v>85</v>
      </c>
      <c r="F25">
        <f t="shared" si="0"/>
        <v>-18.75</v>
      </c>
    </row>
    <row r="26" spans="1:6" x14ac:dyDescent="0.25">
      <c r="A26" t="s">
        <v>84</v>
      </c>
      <c r="B26">
        <v>25</v>
      </c>
      <c r="C26">
        <f>Prices!E26-25</f>
        <v>-25</v>
      </c>
      <c r="D26">
        <v>3</v>
      </c>
      <c r="E26" t="s">
        <v>85</v>
      </c>
      <c r="F26">
        <f t="shared" si="0"/>
        <v>-18.75</v>
      </c>
    </row>
    <row r="27" spans="1:6" x14ac:dyDescent="0.25">
      <c r="A27" t="s">
        <v>84</v>
      </c>
      <c r="B27">
        <v>26</v>
      </c>
      <c r="C27">
        <f>Prices!E27-25</f>
        <v>-25</v>
      </c>
      <c r="D27">
        <v>3</v>
      </c>
      <c r="E27" t="s">
        <v>85</v>
      </c>
      <c r="F27">
        <f t="shared" si="0"/>
        <v>-18.75</v>
      </c>
    </row>
    <row r="28" spans="1:6" x14ac:dyDescent="0.25">
      <c r="A28" t="s">
        <v>84</v>
      </c>
      <c r="B28">
        <v>27</v>
      </c>
      <c r="C28">
        <f>Prices!E28-25</f>
        <v>-25</v>
      </c>
      <c r="D28">
        <v>3</v>
      </c>
      <c r="E28" t="s">
        <v>85</v>
      </c>
      <c r="F28">
        <f t="shared" si="0"/>
        <v>-18.75</v>
      </c>
    </row>
    <row r="29" spans="1:6" x14ac:dyDescent="0.25">
      <c r="A29" t="s">
        <v>84</v>
      </c>
      <c r="B29">
        <v>28</v>
      </c>
      <c r="C29">
        <f>Prices!E29-25</f>
        <v>-25</v>
      </c>
      <c r="D29">
        <v>3</v>
      </c>
      <c r="E29" t="s">
        <v>85</v>
      </c>
      <c r="F29">
        <f t="shared" si="0"/>
        <v>-18.75</v>
      </c>
    </row>
    <row r="30" spans="1:6" x14ac:dyDescent="0.25">
      <c r="A30" t="s">
        <v>84</v>
      </c>
      <c r="B30">
        <v>29</v>
      </c>
      <c r="C30">
        <f>Prices!E30-25</f>
        <v>-25</v>
      </c>
      <c r="D30">
        <v>3</v>
      </c>
      <c r="E30" t="s">
        <v>85</v>
      </c>
      <c r="F30">
        <f t="shared" si="0"/>
        <v>-18.75</v>
      </c>
    </row>
    <row r="31" spans="1:6" x14ac:dyDescent="0.25">
      <c r="A31" t="s">
        <v>84</v>
      </c>
      <c r="B31">
        <v>30</v>
      </c>
      <c r="C31">
        <f>Prices!E31-25</f>
        <v>-25</v>
      </c>
      <c r="D31">
        <v>3</v>
      </c>
      <c r="E31" t="s">
        <v>85</v>
      </c>
      <c r="F31">
        <f t="shared" si="0"/>
        <v>-18.75</v>
      </c>
    </row>
    <row r="32" spans="1:6" x14ac:dyDescent="0.25">
      <c r="A32" t="s">
        <v>84</v>
      </c>
      <c r="B32">
        <v>31</v>
      </c>
      <c r="C32">
        <f>Prices!E32-25</f>
        <v>-25</v>
      </c>
      <c r="D32">
        <v>3</v>
      </c>
      <c r="E32" t="s">
        <v>85</v>
      </c>
      <c r="F32">
        <f t="shared" si="0"/>
        <v>-18.75</v>
      </c>
    </row>
    <row r="33" spans="1:6" x14ac:dyDescent="0.25">
      <c r="A33" t="s">
        <v>84</v>
      </c>
      <c r="B33">
        <v>32</v>
      </c>
      <c r="C33">
        <f>Prices!E33-25</f>
        <v>-25</v>
      </c>
      <c r="D33">
        <v>3</v>
      </c>
      <c r="E33" t="s">
        <v>85</v>
      </c>
      <c r="F33">
        <f t="shared" si="0"/>
        <v>-18.75</v>
      </c>
    </row>
    <row r="34" spans="1:6" x14ac:dyDescent="0.25">
      <c r="A34" t="s">
        <v>84</v>
      </c>
      <c r="B34">
        <v>33</v>
      </c>
      <c r="C34">
        <f>Prices!E34-25</f>
        <v>-25</v>
      </c>
      <c r="D34">
        <v>3</v>
      </c>
      <c r="E34" t="s">
        <v>85</v>
      </c>
      <c r="F34">
        <f t="shared" ref="F34:F65" si="1">C34*D34/4</f>
        <v>-18.75</v>
      </c>
    </row>
    <row r="35" spans="1:6" x14ac:dyDescent="0.25">
      <c r="A35" t="s">
        <v>84</v>
      </c>
      <c r="B35">
        <v>34</v>
      </c>
      <c r="C35">
        <f>Prices!E35-25</f>
        <v>-25</v>
      </c>
      <c r="D35">
        <v>3</v>
      </c>
      <c r="E35" t="s">
        <v>85</v>
      </c>
      <c r="F35">
        <f t="shared" si="1"/>
        <v>-18.75</v>
      </c>
    </row>
    <row r="36" spans="1:6" x14ac:dyDescent="0.25">
      <c r="A36" t="s">
        <v>84</v>
      </c>
      <c r="B36">
        <v>35</v>
      </c>
      <c r="C36">
        <f>Prices!E36-25</f>
        <v>-25</v>
      </c>
      <c r="D36">
        <v>3</v>
      </c>
      <c r="E36" t="s">
        <v>85</v>
      </c>
      <c r="F36">
        <f t="shared" si="1"/>
        <v>-18.75</v>
      </c>
    </row>
    <row r="37" spans="1:6" x14ac:dyDescent="0.25">
      <c r="A37" t="s">
        <v>84</v>
      </c>
      <c r="B37">
        <v>36</v>
      </c>
      <c r="C37">
        <f>Prices!E37-25</f>
        <v>-25</v>
      </c>
      <c r="D37">
        <v>3</v>
      </c>
      <c r="E37" t="s">
        <v>85</v>
      </c>
      <c r="F37">
        <f t="shared" si="1"/>
        <v>-18.75</v>
      </c>
    </row>
    <row r="38" spans="1:6" x14ac:dyDescent="0.25">
      <c r="A38" t="s">
        <v>84</v>
      </c>
      <c r="B38">
        <v>37</v>
      </c>
      <c r="C38">
        <f>Prices!E38-25</f>
        <v>-25</v>
      </c>
      <c r="D38">
        <v>3</v>
      </c>
      <c r="E38" t="s">
        <v>85</v>
      </c>
      <c r="F38">
        <f t="shared" si="1"/>
        <v>-18.75</v>
      </c>
    </row>
    <row r="39" spans="1:6" x14ac:dyDescent="0.25">
      <c r="A39" t="s">
        <v>84</v>
      </c>
      <c r="B39">
        <v>38</v>
      </c>
      <c r="C39">
        <f>Prices!E39-25</f>
        <v>-25</v>
      </c>
      <c r="D39">
        <v>3</v>
      </c>
      <c r="E39" t="s">
        <v>85</v>
      </c>
      <c r="F39">
        <f t="shared" si="1"/>
        <v>-18.75</v>
      </c>
    </row>
    <row r="40" spans="1:6" x14ac:dyDescent="0.25">
      <c r="A40" t="s">
        <v>84</v>
      </c>
      <c r="B40">
        <v>39</v>
      </c>
      <c r="C40">
        <f>Prices!E40-25</f>
        <v>-25</v>
      </c>
      <c r="D40">
        <v>3</v>
      </c>
      <c r="E40" t="s">
        <v>85</v>
      </c>
      <c r="F40">
        <f t="shared" si="1"/>
        <v>-18.75</v>
      </c>
    </row>
    <row r="41" spans="1:6" x14ac:dyDescent="0.25">
      <c r="A41" t="s">
        <v>84</v>
      </c>
      <c r="B41">
        <v>40</v>
      </c>
      <c r="C41">
        <f>Prices!E41-25</f>
        <v>-25</v>
      </c>
      <c r="D41">
        <v>3</v>
      </c>
      <c r="E41" t="s">
        <v>85</v>
      </c>
      <c r="F41">
        <f t="shared" si="1"/>
        <v>-18.75</v>
      </c>
    </row>
    <row r="42" spans="1:6" x14ac:dyDescent="0.25">
      <c r="A42" t="s">
        <v>84</v>
      </c>
      <c r="B42">
        <v>41</v>
      </c>
      <c r="C42">
        <f>Prices!E42-25</f>
        <v>-25</v>
      </c>
      <c r="D42">
        <v>3</v>
      </c>
      <c r="E42" t="s">
        <v>85</v>
      </c>
      <c r="F42">
        <f t="shared" si="1"/>
        <v>-18.75</v>
      </c>
    </row>
    <row r="43" spans="1:6" x14ac:dyDescent="0.25">
      <c r="A43" t="s">
        <v>84</v>
      </c>
      <c r="B43">
        <v>42</v>
      </c>
      <c r="C43">
        <f>Prices!E43-25</f>
        <v>-25</v>
      </c>
      <c r="D43">
        <v>3</v>
      </c>
      <c r="E43" t="s">
        <v>85</v>
      </c>
      <c r="F43">
        <f t="shared" si="1"/>
        <v>-18.75</v>
      </c>
    </row>
    <row r="44" spans="1:6" x14ac:dyDescent="0.25">
      <c r="A44" t="s">
        <v>84</v>
      </c>
      <c r="B44">
        <v>43</v>
      </c>
      <c r="C44">
        <f>Prices!E44-25</f>
        <v>-25</v>
      </c>
      <c r="D44">
        <v>3</v>
      </c>
      <c r="E44" t="s">
        <v>85</v>
      </c>
      <c r="F44">
        <f t="shared" si="1"/>
        <v>-18.75</v>
      </c>
    </row>
    <row r="45" spans="1:6" x14ac:dyDescent="0.25">
      <c r="A45" t="s">
        <v>84</v>
      </c>
      <c r="B45">
        <v>44</v>
      </c>
      <c r="C45">
        <f>Prices!E45-25</f>
        <v>-25</v>
      </c>
      <c r="D45">
        <v>3</v>
      </c>
      <c r="E45" t="s">
        <v>85</v>
      </c>
      <c r="F45">
        <f t="shared" si="1"/>
        <v>-18.75</v>
      </c>
    </row>
    <row r="46" spans="1:6" x14ac:dyDescent="0.25">
      <c r="A46" t="s">
        <v>84</v>
      </c>
      <c r="B46">
        <v>45</v>
      </c>
      <c r="C46">
        <f>Prices!E46-25</f>
        <v>-25</v>
      </c>
      <c r="D46">
        <v>3</v>
      </c>
      <c r="E46" t="s">
        <v>85</v>
      </c>
      <c r="F46">
        <f t="shared" si="1"/>
        <v>-18.75</v>
      </c>
    </row>
    <row r="47" spans="1:6" x14ac:dyDescent="0.25">
      <c r="A47" t="s">
        <v>84</v>
      </c>
      <c r="B47">
        <v>46</v>
      </c>
      <c r="C47">
        <f>Prices!E47-25</f>
        <v>-25</v>
      </c>
      <c r="D47">
        <v>3</v>
      </c>
      <c r="E47" t="s">
        <v>85</v>
      </c>
      <c r="F47">
        <f t="shared" si="1"/>
        <v>-18.75</v>
      </c>
    </row>
    <row r="48" spans="1:6" x14ac:dyDescent="0.25">
      <c r="A48" t="s">
        <v>84</v>
      </c>
      <c r="B48">
        <v>47</v>
      </c>
      <c r="C48">
        <f>Prices!E48-25</f>
        <v>-25</v>
      </c>
      <c r="D48">
        <v>3</v>
      </c>
      <c r="E48" t="s">
        <v>85</v>
      </c>
      <c r="F48">
        <f t="shared" si="1"/>
        <v>-18.75</v>
      </c>
    </row>
    <row r="49" spans="1:6" x14ac:dyDescent="0.25">
      <c r="A49" t="s">
        <v>84</v>
      </c>
      <c r="B49">
        <v>48</v>
      </c>
      <c r="C49">
        <f>Prices!E49-25</f>
        <v>-25</v>
      </c>
      <c r="D49">
        <v>3</v>
      </c>
      <c r="E49" t="s">
        <v>85</v>
      </c>
      <c r="F49">
        <f t="shared" si="1"/>
        <v>-18.75</v>
      </c>
    </row>
    <row r="50" spans="1:6" x14ac:dyDescent="0.25">
      <c r="A50" t="s">
        <v>84</v>
      </c>
      <c r="B50">
        <v>49</v>
      </c>
      <c r="C50">
        <f>Prices!E50-25</f>
        <v>-25</v>
      </c>
      <c r="D50">
        <v>3</v>
      </c>
      <c r="E50" t="s">
        <v>85</v>
      </c>
      <c r="F50">
        <f t="shared" si="1"/>
        <v>-18.75</v>
      </c>
    </row>
    <row r="51" spans="1:6" x14ac:dyDescent="0.25">
      <c r="A51" t="s">
        <v>84</v>
      </c>
      <c r="B51">
        <v>50</v>
      </c>
      <c r="C51">
        <f>Prices!E51-25</f>
        <v>-25</v>
      </c>
      <c r="D51">
        <v>3</v>
      </c>
      <c r="E51" t="s">
        <v>85</v>
      </c>
      <c r="F51">
        <f t="shared" si="1"/>
        <v>-18.75</v>
      </c>
    </row>
    <row r="52" spans="1:6" x14ac:dyDescent="0.25">
      <c r="A52" t="s">
        <v>84</v>
      </c>
      <c r="B52">
        <v>51</v>
      </c>
      <c r="C52">
        <f>Prices!E52-25</f>
        <v>-25</v>
      </c>
      <c r="D52">
        <v>3</v>
      </c>
      <c r="E52" t="s">
        <v>85</v>
      </c>
      <c r="F52">
        <f t="shared" si="1"/>
        <v>-18.75</v>
      </c>
    </row>
    <row r="53" spans="1:6" x14ac:dyDescent="0.25">
      <c r="A53" t="s">
        <v>84</v>
      </c>
      <c r="B53">
        <v>52</v>
      </c>
      <c r="C53">
        <f>Prices!E53-25</f>
        <v>-25</v>
      </c>
      <c r="D53">
        <v>3</v>
      </c>
      <c r="E53" t="s">
        <v>85</v>
      </c>
      <c r="F53">
        <f t="shared" si="1"/>
        <v>-18.75</v>
      </c>
    </row>
    <row r="54" spans="1:6" x14ac:dyDescent="0.25">
      <c r="A54" t="s">
        <v>84</v>
      </c>
      <c r="B54">
        <v>53</v>
      </c>
      <c r="C54">
        <f>Prices!E54-25</f>
        <v>-25</v>
      </c>
      <c r="D54">
        <v>3</v>
      </c>
      <c r="E54" t="s">
        <v>85</v>
      </c>
      <c r="F54">
        <f t="shared" si="1"/>
        <v>-18.75</v>
      </c>
    </row>
    <row r="55" spans="1:6" x14ac:dyDescent="0.25">
      <c r="A55" t="s">
        <v>84</v>
      </c>
      <c r="B55">
        <v>54</v>
      </c>
      <c r="C55">
        <f>Prices!E55-25</f>
        <v>-25</v>
      </c>
      <c r="D55">
        <v>3</v>
      </c>
      <c r="E55" t="s">
        <v>85</v>
      </c>
      <c r="F55">
        <f t="shared" si="1"/>
        <v>-18.75</v>
      </c>
    </row>
    <row r="56" spans="1:6" x14ac:dyDescent="0.25">
      <c r="A56" t="s">
        <v>84</v>
      </c>
      <c r="B56">
        <v>55</v>
      </c>
      <c r="C56">
        <f>Prices!E56-25</f>
        <v>-25</v>
      </c>
      <c r="D56">
        <v>3</v>
      </c>
      <c r="E56" t="s">
        <v>85</v>
      </c>
      <c r="F56">
        <f t="shared" si="1"/>
        <v>-18.75</v>
      </c>
    </row>
    <row r="57" spans="1:6" x14ac:dyDescent="0.25">
      <c r="A57" t="s">
        <v>84</v>
      </c>
      <c r="B57">
        <v>56</v>
      </c>
      <c r="C57">
        <f>Prices!E57-25</f>
        <v>-25</v>
      </c>
      <c r="D57">
        <v>3</v>
      </c>
      <c r="E57" t="s">
        <v>85</v>
      </c>
      <c r="F57">
        <f t="shared" si="1"/>
        <v>-18.75</v>
      </c>
    </row>
    <row r="58" spans="1:6" x14ac:dyDescent="0.25">
      <c r="A58" t="s">
        <v>84</v>
      </c>
      <c r="B58">
        <v>57</v>
      </c>
      <c r="C58">
        <f>Prices!E58-25</f>
        <v>-25</v>
      </c>
      <c r="D58">
        <v>3</v>
      </c>
      <c r="E58" t="s">
        <v>85</v>
      </c>
      <c r="F58">
        <f t="shared" si="1"/>
        <v>-18.75</v>
      </c>
    </row>
    <row r="59" spans="1:6" x14ac:dyDescent="0.25">
      <c r="A59" t="s">
        <v>84</v>
      </c>
      <c r="B59">
        <v>58</v>
      </c>
      <c r="C59">
        <f>Prices!E59-25</f>
        <v>-25</v>
      </c>
      <c r="D59">
        <v>3</v>
      </c>
      <c r="E59" t="s">
        <v>85</v>
      </c>
      <c r="F59">
        <f t="shared" si="1"/>
        <v>-18.75</v>
      </c>
    </row>
    <row r="60" spans="1:6" x14ac:dyDescent="0.25">
      <c r="A60" t="s">
        <v>84</v>
      </c>
      <c r="B60">
        <v>59</v>
      </c>
      <c r="C60">
        <f>Prices!E60-25</f>
        <v>-25</v>
      </c>
      <c r="D60">
        <v>3</v>
      </c>
      <c r="E60" t="s">
        <v>85</v>
      </c>
      <c r="F60">
        <f t="shared" si="1"/>
        <v>-18.75</v>
      </c>
    </row>
    <row r="61" spans="1:6" x14ac:dyDescent="0.25">
      <c r="A61" t="s">
        <v>84</v>
      </c>
      <c r="B61">
        <v>60</v>
      </c>
      <c r="C61">
        <f>Prices!E61-25</f>
        <v>-25</v>
      </c>
      <c r="D61">
        <v>3</v>
      </c>
      <c r="E61" t="s">
        <v>85</v>
      </c>
      <c r="F61">
        <f t="shared" si="1"/>
        <v>-18.75</v>
      </c>
    </row>
    <row r="62" spans="1:6" x14ac:dyDescent="0.25">
      <c r="A62" t="s">
        <v>84</v>
      </c>
      <c r="B62">
        <v>61</v>
      </c>
      <c r="C62">
        <f>Prices!E62-25</f>
        <v>-25</v>
      </c>
      <c r="D62">
        <v>3</v>
      </c>
      <c r="E62" t="s">
        <v>85</v>
      </c>
      <c r="F62">
        <f t="shared" si="1"/>
        <v>-18.75</v>
      </c>
    </row>
    <row r="63" spans="1:6" x14ac:dyDescent="0.25">
      <c r="A63" t="s">
        <v>84</v>
      </c>
      <c r="B63">
        <v>62</v>
      </c>
      <c r="C63">
        <f>Prices!E63-25</f>
        <v>-25</v>
      </c>
      <c r="D63">
        <v>3</v>
      </c>
      <c r="E63" t="s">
        <v>85</v>
      </c>
      <c r="F63">
        <f t="shared" si="1"/>
        <v>-18.75</v>
      </c>
    </row>
    <row r="64" spans="1:6" x14ac:dyDescent="0.25">
      <c r="A64" t="s">
        <v>84</v>
      </c>
      <c r="B64">
        <v>63</v>
      </c>
      <c r="C64">
        <f>Prices!E64-25</f>
        <v>-25</v>
      </c>
      <c r="D64">
        <v>3</v>
      </c>
      <c r="E64" t="s">
        <v>85</v>
      </c>
      <c r="F64">
        <f t="shared" si="1"/>
        <v>-18.75</v>
      </c>
    </row>
    <row r="65" spans="1:6" x14ac:dyDescent="0.25">
      <c r="A65" t="s">
        <v>84</v>
      </c>
      <c r="B65">
        <v>64</v>
      </c>
      <c r="C65">
        <f>Prices!E65-25</f>
        <v>-25</v>
      </c>
      <c r="D65">
        <v>3</v>
      </c>
      <c r="E65" t="s">
        <v>85</v>
      </c>
      <c r="F65">
        <f t="shared" si="1"/>
        <v>-18.75</v>
      </c>
    </row>
    <row r="66" spans="1:6" x14ac:dyDescent="0.25">
      <c r="A66" t="s">
        <v>84</v>
      </c>
      <c r="B66">
        <v>65</v>
      </c>
      <c r="C66">
        <f>Prices!E66-25</f>
        <v>-25</v>
      </c>
      <c r="D66">
        <v>3</v>
      </c>
      <c r="E66" t="s">
        <v>85</v>
      </c>
      <c r="F66">
        <f t="shared" ref="F66:F97" si="2">C66*D66/4</f>
        <v>-18.75</v>
      </c>
    </row>
    <row r="67" spans="1:6" x14ac:dyDescent="0.25">
      <c r="A67" t="s">
        <v>84</v>
      </c>
      <c r="B67">
        <v>66</v>
      </c>
      <c r="C67">
        <f>Prices!E67-25</f>
        <v>-25</v>
      </c>
      <c r="D67">
        <v>3</v>
      </c>
      <c r="E67" t="s">
        <v>85</v>
      </c>
      <c r="F67">
        <f t="shared" si="2"/>
        <v>-18.75</v>
      </c>
    </row>
    <row r="68" spans="1:6" x14ac:dyDescent="0.25">
      <c r="A68" t="s">
        <v>84</v>
      </c>
      <c r="B68">
        <v>67</v>
      </c>
      <c r="C68">
        <f>Prices!E68-25</f>
        <v>-25</v>
      </c>
      <c r="D68">
        <v>3</v>
      </c>
      <c r="E68" t="s">
        <v>85</v>
      </c>
      <c r="F68">
        <f t="shared" si="2"/>
        <v>-18.75</v>
      </c>
    </row>
    <row r="69" spans="1:6" x14ac:dyDescent="0.25">
      <c r="A69" t="s">
        <v>84</v>
      </c>
      <c r="B69">
        <v>68</v>
      </c>
      <c r="C69">
        <f>Prices!E69-25</f>
        <v>-25</v>
      </c>
      <c r="D69">
        <v>3</v>
      </c>
      <c r="E69" t="s">
        <v>85</v>
      </c>
      <c r="F69">
        <f t="shared" si="2"/>
        <v>-18.75</v>
      </c>
    </row>
    <row r="70" spans="1:6" x14ac:dyDescent="0.25">
      <c r="A70" t="s">
        <v>84</v>
      </c>
      <c r="B70">
        <v>69</v>
      </c>
      <c r="C70">
        <f>Prices!E70-25</f>
        <v>-25</v>
      </c>
      <c r="D70">
        <v>3</v>
      </c>
      <c r="E70" t="s">
        <v>85</v>
      </c>
      <c r="F70">
        <f t="shared" si="2"/>
        <v>-18.75</v>
      </c>
    </row>
    <row r="71" spans="1:6" x14ac:dyDescent="0.25">
      <c r="A71" t="s">
        <v>84</v>
      </c>
      <c r="B71">
        <v>70</v>
      </c>
      <c r="C71">
        <f>Prices!E71-25</f>
        <v>-25</v>
      </c>
      <c r="D71">
        <v>3</v>
      </c>
      <c r="E71" t="s">
        <v>85</v>
      </c>
      <c r="F71">
        <f t="shared" si="2"/>
        <v>-18.75</v>
      </c>
    </row>
    <row r="72" spans="1:6" x14ac:dyDescent="0.25">
      <c r="A72" t="s">
        <v>84</v>
      </c>
      <c r="B72">
        <v>71</v>
      </c>
      <c r="C72">
        <f>Prices!E72-25</f>
        <v>-25</v>
      </c>
      <c r="D72">
        <v>3</v>
      </c>
      <c r="E72" t="s">
        <v>85</v>
      </c>
      <c r="F72">
        <f t="shared" si="2"/>
        <v>-18.75</v>
      </c>
    </row>
    <row r="73" spans="1:6" x14ac:dyDescent="0.25">
      <c r="A73" t="s">
        <v>84</v>
      </c>
      <c r="B73">
        <v>72</v>
      </c>
      <c r="C73">
        <f>Prices!E73-25</f>
        <v>-25</v>
      </c>
      <c r="D73">
        <v>3</v>
      </c>
      <c r="E73" t="s">
        <v>85</v>
      </c>
      <c r="F73">
        <f t="shared" si="2"/>
        <v>-18.75</v>
      </c>
    </row>
    <row r="74" spans="1:6" x14ac:dyDescent="0.25">
      <c r="A74" t="s">
        <v>84</v>
      </c>
      <c r="B74">
        <v>73</v>
      </c>
      <c r="C74">
        <f>Prices!E74-25</f>
        <v>-25</v>
      </c>
      <c r="D74">
        <v>3</v>
      </c>
      <c r="E74" t="s">
        <v>85</v>
      </c>
      <c r="F74">
        <f t="shared" si="2"/>
        <v>-18.75</v>
      </c>
    </row>
    <row r="75" spans="1:6" x14ac:dyDescent="0.25">
      <c r="A75" t="s">
        <v>84</v>
      </c>
      <c r="B75">
        <v>74</v>
      </c>
      <c r="C75">
        <f>Prices!E75-25</f>
        <v>-25</v>
      </c>
      <c r="D75">
        <v>3</v>
      </c>
      <c r="E75" t="s">
        <v>85</v>
      </c>
      <c r="F75">
        <f t="shared" si="2"/>
        <v>-18.75</v>
      </c>
    </row>
    <row r="76" spans="1:6" x14ac:dyDescent="0.25">
      <c r="A76" t="s">
        <v>84</v>
      </c>
      <c r="B76">
        <v>75</v>
      </c>
      <c r="C76">
        <f>Prices!E76-25</f>
        <v>-25</v>
      </c>
      <c r="D76">
        <v>3</v>
      </c>
      <c r="E76" t="s">
        <v>85</v>
      </c>
      <c r="F76">
        <f t="shared" si="2"/>
        <v>-18.75</v>
      </c>
    </row>
    <row r="77" spans="1:6" x14ac:dyDescent="0.25">
      <c r="A77" t="s">
        <v>84</v>
      </c>
      <c r="B77">
        <v>76</v>
      </c>
      <c r="C77">
        <f>Prices!E77-25</f>
        <v>-25</v>
      </c>
      <c r="D77">
        <v>3</v>
      </c>
      <c r="E77" t="s">
        <v>85</v>
      </c>
      <c r="F77">
        <f t="shared" si="2"/>
        <v>-18.75</v>
      </c>
    </row>
    <row r="78" spans="1:6" x14ac:dyDescent="0.25">
      <c r="A78" t="s">
        <v>84</v>
      </c>
      <c r="B78">
        <v>77</v>
      </c>
      <c r="C78">
        <f>Prices!E78-25</f>
        <v>-25</v>
      </c>
      <c r="D78">
        <v>3</v>
      </c>
      <c r="E78" t="s">
        <v>85</v>
      </c>
      <c r="F78">
        <f t="shared" si="2"/>
        <v>-18.75</v>
      </c>
    </row>
    <row r="79" spans="1:6" x14ac:dyDescent="0.25">
      <c r="A79" t="s">
        <v>84</v>
      </c>
      <c r="B79">
        <v>78</v>
      </c>
      <c r="C79">
        <f>Prices!E79-25</f>
        <v>-25</v>
      </c>
      <c r="D79">
        <v>3</v>
      </c>
      <c r="E79" t="s">
        <v>85</v>
      </c>
      <c r="F79">
        <f t="shared" si="2"/>
        <v>-18.75</v>
      </c>
    </row>
    <row r="80" spans="1:6" x14ac:dyDescent="0.25">
      <c r="A80" t="s">
        <v>84</v>
      </c>
      <c r="B80">
        <v>79</v>
      </c>
      <c r="C80">
        <f>Prices!E80-25</f>
        <v>-25</v>
      </c>
      <c r="D80">
        <v>3</v>
      </c>
      <c r="E80" t="s">
        <v>85</v>
      </c>
      <c r="F80">
        <f t="shared" si="2"/>
        <v>-18.75</v>
      </c>
    </row>
    <row r="81" spans="1:6" x14ac:dyDescent="0.25">
      <c r="A81" t="s">
        <v>84</v>
      </c>
      <c r="B81">
        <v>80</v>
      </c>
      <c r="C81">
        <f>Prices!E81-25</f>
        <v>-25</v>
      </c>
      <c r="D81">
        <v>3</v>
      </c>
      <c r="E81" t="s">
        <v>85</v>
      </c>
      <c r="F81">
        <f t="shared" si="2"/>
        <v>-18.75</v>
      </c>
    </row>
    <row r="82" spans="1:6" x14ac:dyDescent="0.25">
      <c r="A82" t="s">
        <v>84</v>
      </c>
      <c r="B82">
        <v>81</v>
      </c>
      <c r="C82">
        <f>Prices!E82-25</f>
        <v>-25</v>
      </c>
      <c r="D82">
        <v>3</v>
      </c>
      <c r="E82" t="s">
        <v>85</v>
      </c>
      <c r="F82">
        <f t="shared" si="2"/>
        <v>-18.75</v>
      </c>
    </row>
    <row r="83" spans="1:6" x14ac:dyDescent="0.25">
      <c r="A83" t="s">
        <v>84</v>
      </c>
      <c r="B83">
        <v>82</v>
      </c>
      <c r="C83">
        <f>Prices!E83-25</f>
        <v>-25</v>
      </c>
      <c r="D83">
        <v>3</v>
      </c>
      <c r="E83" t="s">
        <v>85</v>
      </c>
      <c r="F83">
        <f t="shared" si="2"/>
        <v>-18.75</v>
      </c>
    </row>
    <row r="84" spans="1:6" x14ac:dyDescent="0.25">
      <c r="A84" t="s">
        <v>84</v>
      </c>
      <c r="B84">
        <v>83</v>
      </c>
      <c r="C84">
        <f>Prices!E84-25</f>
        <v>-25</v>
      </c>
      <c r="D84">
        <v>3</v>
      </c>
      <c r="E84" t="s">
        <v>85</v>
      </c>
      <c r="F84">
        <f t="shared" si="2"/>
        <v>-18.75</v>
      </c>
    </row>
    <row r="85" spans="1:6" x14ac:dyDescent="0.25">
      <c r="A85" t="s">
        <v>84</v>
      </c>
      <c r="B85">
        <v>84</v>
      </c>
      <c r="C85">
        <f>Prices!E85-25</f>
        <v>-25</v>
      </c>
      <c r="D85">
        <v>3</v>
      </c>
      <c r="E85" t="s">
        <v>85</v>
      </c>
      <c r="F85">
        <f t="shared" si="2"/>
        <v>-18.75</v>
      </c>
    </row>
    <row r="86" spans="1:6" x14ac:dyDescent="0.25">
      <c r="A86" t="s">
        <v>84</v>
      </c>
      <c r="B86">
        <v>85</v>
      </c>
      <c r="C86">
        <f>Prices!E86-25</f>
        <v>-25</v>
      </c>
      <c r="D86">
        <v>3</v>
      </c>
      <c r="E86" t="s">
        <v>85</v>
      </c>
      <c r="F86">
        <f t="shared" si="2"/>
        <v>-18.75</v>
      </c>
    </row>
    <row r="87" spans="1:6" x14ac:dyDescent="0.25">
      <c r="A87" t="s">
        <v>84</v>
      </c>
      <c r="B87">
        <v>86</v>
      </c>
      <c r="C87">
        <f>Prices!E87-25</f>
        <v>-25</v>
      </c>
      <c r="D87">
        <v>3</v>
      </c>
      <c r="E87" t="s">
        <v>85</v>
      </c>
      <c r="F87">
        <f t="shared" si="2"/>
        <v>-18.75</v>
      </c>
    </row>
    <row r="88" spans="1:6" x14ac:dyDescent="0.25">
      <c r="A88" t="s">
        <v>84</v>
      </c>
      <c r="B88">
        <v>87</v>
      </c>
      <c r="C88">
        <f>Prices!E88-25</f>
        <v>-25</v>
      </c>
      <c r="D88">
        <v>3</v>
      </c>
      <c r="E88" t="s">
        <v>85</v>
      </c>
      <c r="F88">
        <f t="shared" si="2"/>
        <v>-18.75</v>
      </c>
    </row>
    <row r="89" spans="1:6" x14ac:dyDescent="0.25">
      <c r="A89" t="s">
        <v>84</v>
      </c>
      <c r="B89">
        <v>88</v>
      </c>
      <c r="C89">
        <f>Prices!E89-25</f>
        <v>-25</v>
      </c>
      <c r="D89">
        <v>3</v>
      </c>
      <c r="E89" t="s">
        <v>85</v>
      </c>
      <c r="F89">
        <f t="shared" si="2"/>
        <v>-18.75</v>
      </c>
    </row>
    <row r="90" spans="1:6" x14ac:dyDescent="0.25">
      <c r="A90" t="s">
        <v>84</v>
      </c>
      <c r="B90">
        <v>89</v>
      </c>
      <c r="C90">
        <f>Prices!E90-25</f>
        <v>-25</v>
      </c>
      <c r="D90">
        <v>3</v>
      </c>
      <c r="E90" t="s">
        <v>85</v>
      </c>
      <c r="F90">
        <f t="shared" si="2"/>
        <v>-18.75</v>
      </c>
    </row>
    <row r="91" spans="1:6" x14ac:dyDescent="0.25">
      <c r="A91" t="s">
        <v>84</v>
      </c>
      <c r="B91">
        <v>90</v>
      </c>
      <c r="C91">
        <f>Prices!E91-25</f>
        <v>-25</v>
      </c>
      <c r="D91">
        <v>3</v>
      </c>
      <c r="E91" t="s">
        <v>85</v>
      </c>
      <c r="F91">
        <f t="shared" si="2"/>
        <v>-18.75</v>
      </c>
    </row>
    <row r="92" spans="1:6" x14ac:dyDescent="0.25">
      <c r="A92" t="s">
        <v>84</v>
      </c>
      <c r="B92">
        <v>91</v>
      </c>
      <c r="C92">
        <f>Prices!E92-25</f>
        <v>-25</v>
      </c>
      <c r="D92">
        <v>3</v>
      </c>
      <c r="E92" t="s">
        <v>85</v>
      </c>
      <c r="F92">
        <f t="shared" si="2"/>
        <v>-18.75</v>
      </c>
    </row>
    <row r="93" spans="1:6" x14ac:dyDescent="0.25">
      <c r="A93" t="s">
        <v>84</v>
      </c>
      <c r="B93">
        <v>92</v>
      </c>
      <c r="C93">
        <f>Prices!E93-25</f>
        <v>-25</v>
      </c>
      <c r="D93">
        <v>3</v>
      </c>
      <c r="E93" t="s">
        <v>85</v>
      </c>
      <c r="F93">
        <f t="shared" si="2"/>
        <v>-18.75</v>
      </c>
    </row>
    <row r="94" spans="1:6" x14ac:dyDescent="0.25">
      <c r="A94" t="s">
        <v>84</v>
      </c>
      <c r="B94">
        <v>93</v>
      </c>
      <c r="C94">
        <f>Prices!E94-25</f>
        <v>-25</v>
      </c>
      <c r="D94">
        <v>3</v>
      </c>
      <c r="E94" t="s">
        <v>85</v>
      </c>
      <c r="F94">
        <f t="shared" si="2"/>
        <v>-18.75</v>
      </c>
    </row>
    <row r="95" spans="1:6" x14ac:dyDescent="0.25">
      <c r="A95" t="s">
        <v>84</v>
      </c>
      <c r="B95">
        <v>94</v>
      </c>
      <c r="C95">
        <f>Prices!E95-25</f>
        <v>-25</v>
      </c>
      <c r="D95">
        <v>3</v>
      </c>
      <c r="E95" t="s">
        <v>85</v>
      </c>
      <c r="F95">
        <f t="shared" si="2"/>
        <v>-18.75</v>
      </c>
    </row>
    <row r="96" spans="1:6" x14ac:dyDescent="0.25">
      <c r="A96" t="s">
        <v>84</v>
      </c>
      <c r="B96">
        <v>95</v>
      </c>
      <c r="C96">
        <f>Prices!E96-25</f>
        <v>-25</v>
      </c>
      <c r="D96">
        <v>3</v>
      </c>
      <c r="E96" t="s">
        <v>85</v>
      </c>
      <c r="F96">
        <f t="shared" si="2"/>
        <v>-18.75</v>
      </c>
    </row>
    <row r="97" spans="1:6" x14ac:dyDescent="0.25">
      <c r="A97" t="s">
        <v>84</v>
      </c>
      <c r="B97">
        <v>96</v>
      </c>
      <c r="C97">
        <f>Prices!E97-25</f>
        <v>-25</v>
      </c>
      <c r="D97">
        <v>3</v>
      </c>
      <c r="E97" t="s">
        <v>85</v>
      </c>
      <c r="F97">
        <f t="shared" si="2"/>
        <v>-18.75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"/>
  <dimension ref="A1:E97"/>
  <sheetViews>
    <sheetView workbookViewId="0">
      <selection activeCell="J12" sqref="J12"/>
    </sheetView>
  </sheetViews>
  <sheetFormatPr defaultRowHeight="15" x14ac:dyDescent="0.25"/>
  <sheetData>
    <row r="1" spans="1:5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</row>
    <row r="2" spans="1:5" x14ac:dyDescent="0.25">
      <c r="A2" t="s">
        <v>84</v>
      </c>
      <c r="B2">
        <v>1</v>
      </c>
      <c r="C2">
        <v>121.74</v>
      </c>
      <c r="D2">
        <v>2</v>
      </c>
      <c r="E2" t="s">
        <v>85</v>
      </c>
    </row>
    <row r="3" spans="1:5" x14ac:dyDescent="0.25">
      <c r="A3" t="s">
        <v>84</v>
      </c>
      <c r="B3">
        <v>2</v>
      </c>
      <c r="C3">
        <v>121.74</v>
      </c>
      <c r="D3">
        <v>2</v>
      </c>
      <c r="E3" t="s">
        <v>85</v>
      </c>
    </row>
    <row r="4" spans="1:5" x14ac:dyDescent="0.25">
      <c r="A4" t="s">
        <v>84</v>
      </c>
      <c r="B4">
        <v>3</v>
      </c>
      <c r="C4">
        <v>106.79</v>
      </c>
      <c r="D4">
        <v>2</v>
      </c>
      <c r="E4" t="s">
        <v>85</v>
      </c>
    </row>
    <row r="5" spans="1:5" x14ac:dyDescent="0.25">
      <c r="A5" t="s">
        <v>84</v>
      </c>
      <c r="B5">
        <v>4</v>
      </c>
      <c r="C5">
        <v>91.739999999999895</v>
      </c>
      <c r="D5">
        <v>2</v>
      </c>
      <c r="E5" t="s">
        <v>85</v>
      </c>
    </row>
    <row r="6" spans="1:5" x14ac:dyDescent="0.25">
      <c r="A6" t="s">
        <v>84</v>
      </c>
      <c r="B6">
        <v>5</v>
      </c>
      <c r="C6">
        <v>94.48</v>
      </c>
      <c r="D6">
        <v>2</v>
      </c>
      <c r="E6" t="s">
        <v>85</v>
      </c>
    </row>
    <row r="7" spans="1:5" x14ac:dyDescent="0.25">
      <c r="A7" t="s">
        <v>84</v>
      </c>
      <c r="B7">
        <v>6</v>
      </c>
      <c r="C7">
        <v>94.069999999998998</v>
      </c>
      <c r="D7">
        <v>2</v>
      </c>
      <c r="E7" t="s">
        <v>85</v>
      </c>
    </row>
    <row r="8" spans="1:5" x14ac:dyDescent="0.25">
      <c r="A8" t="s">
        <v>84</v>
      </c>
      <c r="B8">
        <v>7</v>
      </c>
      <c r="C8">
        <v>87.34</v>
      </c>
      <c r="D8">
        <v>2</v>
      </c>
      <c r="E8" t="s">
        <v>85</v>
      </c>
    </row>
    <row r="9" spans="1:5" x14ac:dyDescent="0.25">
      <c r="A9" t="s">
        <v>84</v>
      </c>
      <c r="B9">
        <v>8</v>
      </c>
      <c r="C9">
        <v>94.48</v>
      </c>
      <c r="D9">
        <v>2</v>
      </c>
      <c r="E9" t="s">
        <v>85</v>
      </c>
    </row>
    <row r="10" spans="1:5" x14ac:dyDescent="0.25">
      <c r="A10" t="s">
        <v>84</v>
      </c>
      <c r="B10">
        <v>9</v>
      </c>
      <c r="C10">
        <v>97.72</v>
      </c>
      <c r="D10">
        <v>2</v>
      </c>
      <c r="E10" t="s">
        <v>85</v>
      </c>
    </row>
    <row r="11" spans="1:5" x14ac:dyDescent="0.25">
      <c r="A11" t="s">
        <v>84</v>
      </c>
      <c r="B11">
        <v>10</v>
      </c>
      <c r="C11">
        <v>97.72</v>
      </c>
      <c r="D11">
        <v>2</v>
      </c>
      <c r="E11" t="s">
        <v>85</v>
      </c>
    </row>
    <row r="12" spans="1:5" x14ac:dyDescent="0.25">
      <c r="A12" t="s">
        <v>84</v>
      </c>
      <c r="B12">
        <v>11</v>
      </c>
      <c r="C12">
        <v>97.72</v>
      </c>
      <c r="D12">
        <v>2</v>
      </c>
      <c r="E12" t="s">
        <v>85</v>
      </c>
    </row>
    <row r="13" spans="1:5" x14ac:dyDescent="0.25">
      <c r="A13" t="s">
        <v>84</v>
      </c>
      <c r="B13">
        <v>12</v>
      </c>
      <c r="C13">
        <v>97.72</v>
      </c>
      <c r="D13">
        <v>2</v>
      </c>
      <c r="E13" t="s">
        <v>85</v>
      </c>
    </row>
    <row r="14" spans="1:5" x14ac:dyDescent="0.25">
      <c r="A14" t="s">
        <v>84</v>
      </c>
      <c r="B14">
        <v>13</v>
      </c>
      <c r="C14">
        <v>101.47</v>
      </c>
      <c r="D14">
        <v>2</v>
      </c>
      <c r="E14" t="s">
        <v>85</v>
      </c>
    </row>
    <row r="15" spans="1:5" x14ac:dyDescent="0.25">
      <c r="A15" t="s">
        <v>84</v>
      </c>
      <c r="B15">
        <v>14</v>
      </c>
      <c r="C15">
        <v>101.47</v>
      </c>
      <c r="D15">
        <v>2</v>
      </c>
      <c r="E15" t="s">
        <v>85</v>
      </c>
    </row>
    <row r="16" spans="1:5" x14ac:dyDescent="0.25">
      <c r="A16" t="s">
        <v>84</v>
      </c>
      <c r="B16">
        <v>15</v>
      </c>
      <c r="C16">
        <v>101.47</v>
      </c>
      <c r="D16">
        <v>2</v>
      </c>
      <c r="E16" t="s">
        <v>85</v>
      </c>
    </row>
    <row r="17" spans="1:5" x14ac:dyDescent="0.25">
      <c r="A17" t="s">
        <v>84</v>
      </c>
      <c r="B17">
        <v>16</v>
      </c>
      <c r="C17">
        <v>101.47</v>
      </c>
      <c r="D17">
        <v>2</v>
      </c>
      <c r="E17" t="s">
        <v>85</v>
      </c>
    </row>
    <row r="18" spans="1:5" x14ac:dyDescent="0.25">
      <c r="A18" t="s">
        <v>84</v>
      </c>
      <c r="B18">
        <v>17</v>
      </c>
      <c r="C18">
        <v>101.459999999999</v>
      </c>
      <c r="D18">
        <v>2</v>
      </c>
      <c r="E18" t="s">
        <v>85</v>
      </c>
    </row>
    <row r="19" spans="1:5" x14ac:dyDescent="0.25">
      <c r="A19" t="s">
        <v>84</v>
      </c>
      <c r="B19">
        <v>18</v>
      </c>
      <c r="C19">
        <v>101.459999999999</v>
      </c>
      <c r="D19">
        <v>2</v>
      </c>
      <c r="E19" t="s">
        <v>85</v>
      </c>
    </row>
    <row r="20" spans="1:5" x14ac:dyDescent="0.25">
      <c r="A20" t="s">
        <v>84</v>
      </c>
      <c r="B20">
        <v>19</v>
      </c>
      <c r="C20">
        <v>101.459999999999</v>
      </c>
      <c r="D20">
        <v>2</v>
      </c>
      <c r="E20" t="s">
        <v>85</v>
      </c>
    </row>
    <row r="21" spans="1:5" x14ac:dyDescent="0.25">
      <c r="A21" t="s">
        <v>84</v>
      </c>
      <c r="B21">
        <v>20</v>
      </c>
      <c r="C21">
        <v>101.459999999999</v>
      </c>
      <c r="D21">
        <v>2</v>
      </c>
      <c r="E21" t="s">
        <v>85</v>
      </c>
    </row>
    <row r="22" spans="1:5" x14ac:dyDescent="0.25">
      <c r="A22" t="s">
        <v>84</v>
      </c>
      <c r="B22">
        <v>21</v>
      </c>
      <c r="C22">
        <v>82.48</v>
      </c>
      <c r="D22">
        <v>2</v>
      </c>
      <c r="E22" t="s">
        <v>85</v>
      </c>
    </row>
    <row r="23" spans="1:5" x14ac:dyDescent="0.25">
      <c r="A23" t="s">
        <v>84</v>
      </c>
      <c r="B23">
        <v>22</v>
      </c>
      <c r="C23">
        <v>82.48</v>
      </c>
      <c r="D23">
        <v>2</v>
      </c>
      <c r="E23" t="s">
        <v>85</v>
      </c>
    </row>
    <row r="24" spans="1:5" x14ac:dyDescent="0.25">
      <c r="A24" t="s">
        <v>84</v>
      </c>
      <c r="B24">
        <v>23</v>
      </c>
      <c r="C24">
        <v>89.08</v>
      </c>
      <c r="D24">
        <v>2</v>
      </c>
      <c r="E24" t="s">
        <v>85</v>
      </c>
    </row>
    <row r="25" spans="1:5" x14ac:dyDescent="0.25">
      <c r="A25" t="s">
        <v>84</v>
      </c>
      <c r="B25">
        <v>24</v>
      </c>
      <c r="C25">
        <v>101</v>
      </c>
      <c r="D25">
        <v>2</v>
      </c>
      <c r="E25" t="s">
        <v>85</v>
      </c>
    </row>
    <row r="26" spans="1:5" x14ac:dyDescent="0.25">
      <c r="A26" t="s">
        <v>84</v>
      </c>
      <c r="B26">
        <v>25</v>
      </c>
      <c r="C26">
        <v>82.3</v>
      </c>
      <c r="D26">
        <v>2</v>
      </c>
      <c r="E26" t="s">
        <v>85</v>
      </c>
    </row>
    <row r="27" spans="1:5" x14ac:dyDescent="0.25">
      <c r="A27" t="s">
        <v>84</v>
      </c>
      <c r="B27">
        <v>26</v>
      </c>
      <c r="C27">
        <v>105.3</v>
      </c>
      <c r="D27">
        <v>2</v>
      </c>
      <c r="E27" t="s">
        <v>85</v>
      </c>
    </row>
    <row r="28" spans="1:5" x14ac:dyDescent="0.25">
      <c r="A28" t="s">
        <v>84</v>
      </c>
      <c r="B28">
        <v>27</v>
      </c>
      <c r="C28">
        <v>120</v>
      </c>
      <c r="D28">
        <v>2</v>
      </c>
      <c r="E28" t="s">
        <v>85</v>
      </c>
    </row>
    <row r="29" spans="1:5" x14ac:dyDescent="0.25">
      <c r="A29" t="s">
        <v>84</v>
      </c>
      <c r="B29">
        <v>28</v>
      </c>
      <c r="C29">
        <v>121.28</v>
      </c>
      <c r="D29">
        <v>2</v>
      </c>
      <c r="E29" t="s">
        <v>85</v>
      </c>
    </row>
    <row r="30" spans="1:5" x14ac:dyDescent="0.25">
      <c r="A30" t="s">
        <v>84</v>
      </c>
      <c r="B30">
        <v>29</v>
      </c>
      <c r="C30">
        <v>115.02</v>
      </c>
      <c r="D30">
        <v>2</v>
      </c>
      <c r="E30" t="s">
        <v>85</v>
      </c>
    </row>
    <row r="31" spans="1:5" x14ac:dyDescent="0.25">
      <c r="A31" t="s">
        <v>84</v>
      </c>
      <c r="B31">
        <v>30</v>
      </c>
      <c r="C31">
        <v>116.22</v>
      </c>
      <c r="D31">
        <v>2</v>
      </c>
      <c r="E31" t="s">
        <v>85</v>
      </c>
    </row>
    <row r="32" spans="1:5" x14ac:dyDescent="0.25">
      <c r="A32" t="s">
        <v>84</v>
      </c>
      <c r="B32">
        <v>31</v>
      </c>
      <c r="C32">
        <v>120.02</v>
      </c>
      <c r="D32">
        <v>2</v>
      </c>
      <c r="E32" t="s">
        <v>85</v>
      </c>
    </row>
    <row r="33" spans="1:5" x14ac:dyDescent="0.25">
      <c r="A33" t="s">
        <v>84</v>
      </c>
      <c r="B33">
        <v>32</v>
      </c>
      <c r="C33">
        <v>126.19</v>
      </c>
      <c r="D33">
        <v>2</v>
      </c>
      <c r="E33" t="s">
        <v>85</v>
      </c>
    </row>
    <row r="34" spans="1:5" x14ac:dyDescent="0.25">
      <c r="A34" t="s">
        <v>84</v>
      </c>
      <c r="B34">
        <v>33</v>
      </c>
      <c r="C34">
        <v>138</v>
      </c>
      <c r="D34">
        <v>2</v>
      </c>
      <c r="E34" t="s">
        <v>85</v>
      </c>
    </row>
    <row r="35" spans="1:5" x14ac:dyDescent="0.25">
      <c r="A35" t="s">
        <v>84</v>
      </c>
      <c r="B35">
        <v>34</v>
      </c>
      <c r="C35">
        <v>138</v>
      </c>
      <c r="D35">
        <v>2</v>
      </c>
      <c r="E35" t="s">
        <v>85</v>
      </c>
    </row>
    <row r="36" spans="1:5" x14ac:dyDescent="0.25">
      <c r="A36" t="s">
        <v>84</v>
      </c>
      <c r="B36">
        <v>35</v>
      </c>
      <c r="C36">
        <v>138</v>
      </c>
      <c r="D36">
        <v>2</v>
      </c>
      <c r="E36" t="s">
        <v>85</v>
      </c>
    </row>
    <row r="37" spans="1:5" x14ac:dyDescent="0.25">
      <c r="A37" t="s">
        <v>84</v>
      </c>
      <c r="B37">
        <v>36</v>
      </c>
      <c r="C37">
        <v>126.21</v>
      </c>
      <c r="D37">
        <v>2</v>
      </c>
      <c r="E37" t="s">
        <v>85</v>
      </c>
    </row>
    <row r="38" spans="1:5" x14ac:dyDescent="0.25">
      <c r="A38" t="s">
        <v>84</v>
      </c>
      <c r="B38">
        <v>37</v>
      </c>
      <c r="C38">
        <v>115.489999999999</v>
      </c>
      <c r="D38">
        <v>2</v>
      </c>
      <c r="E38" t="s">
        <v>85</v>
      </c>
    </row>
    <row r="39" spans="1:5" x14ac:dyDescent="0.25">
      <c r="A39" t="s">
        <v>84</v>
      </c>
      <c r="B39">
        <v>38</v>
      </c>
      <c r="C39">
        <v>115.489999999999</v>
      </c>
      <c r="D39">
        <v>2</v>
      </c>
      <c r="E39" t="s">
        <v>85</v>
      </c>
    </row>
    <row r="40" spans="1:5" x14ac:dyDescent="0.25">
      <c r="A40" t="s">
        <v>84</v>
      </c>
      <c r="B40">
        <v>39</v>
      </c>
      <c r="C40">
        <v>107</v>
      </c>
      <c r="D40">
        <v>2</v>
      </c>
      <c r="E40" t="s">
        <v>85</v>
      </c>
    </row>
    <row r="41" spans="1:5" x14ac:dyDescent="0.25">
      <c r="A41" t="s">
        <v>84</v>
      </c>
      <c r="B41">
        <v>40</v>
      </c>
      <c r="C41">
        <v>95.489999999999</v>
      </c>
      <c r="D41">
        <v>2</v>
      </c>
      <c r="E41" t="s">
        <v>85</v>
      </c>
    </row>
    <row r="42" spans="1:5" x14ac:dyDescent="0.25">
      <c r="A42" t="s">
        <v>84</v>
      </c>
      <c r="B42">
        <v>41</v>
      </c>
      <c r="C42">
        <v>118</v>
      </c>
      <c r="D42">
        <v>2</v>
      </c>
      <c r="E42" t="s">
        <v>85</v>
      </c>
    </row>
    <row r="43" spans="1:5" x14ac:dyDescent="0.25">
      <c r="A43" t="s">
        <v>84</v>
      </c>
      <c r="B43">
        <v>42</v>
      </c>
      <c r="C43">
        <v>113.09</v>
      </c>
      <c r="D43">
        <v>2</v>
      </c>
      <c r="E43" t="s">
        <v>85</v>
      </c>
    </row>
    <row r="44" spans="1:5" x14ac:dyDescent="0.25">
      <c r="A44" t="s">
        <v>84</v>
      </c>
      <c r="B44">
        <v>43</v>
      </c>
      <c r="C44">
        <v>99</v>
      </c>
      <c r="D44">
        <v>2</v>
      </c>
      <c r="E44" t="s">
        <v>85</v>
      </c>
    </row>
    <row r="45" spans="1:5" x14ac:dyDescent="0.25">
      <c r="A45" t="s">
        <v>84</v>
      </c>
      <c r="B45">
        <v>44</v>
      </c>
      <c r="C45">
        <v>92.93</v>
      </c>
      <c r="D45">
        <v>2</v>
      </c>
      <c r="E45" t="s">
        <v>85</v>
      </c>
    </row>
    <row r="46" spans="1:5" x14ac:dyDescent="0.25">
      <c r="A46" t="s">
        <v>84</v>
      </c>
      <c r="B46">
        <v>45</v>
      </c>
      <c r="C46">
        <v>106.5</v>
      </c>
      <c r="D46">
        <v>2</v>
      </c>
      <c r="E46" t="s">
        <v>85</v>
      </c>
    </row>
    <row r="47" spans="1:5" x14ac:dyDescent="0.25">
      <c r="A47" t="s">
        <v>84</v>
      </c>
      <c r="B47">
        <v>46</v>
      </c>
      <c r="C47">
        <v>101.88</v>
      </c>
      <c r="D47">
        <v>2</v>
      </c>
      <c r="E47" t="s">
        <v>85</v>
      </c>
    </row>
    <row r="48" spans="1:5" x14ac:dyDescent="0.25">
      <c r="A48" t="s">
        <v>84</v>
      </c>
      <c r="B48">
        <v>47</v>
      </c>
      <c r="C48">
        <v>86</v>
      </c>
      <c r="D48">
        <v>2</v>
      </c>
      <c r="E48" t="s">
        <v>85</v>
      </c>
    </row>
    <row r="49" spans="1:5" x14ac:dyDescent="0.25">
      <c r="A49" t="s">
        <v>84</v>
      </c>
      <c r="B49">
        <v>48</v>
      </c>
      <c r="C49">
        <v>82</v>
      </c>
      <c r="D49">
        <v>2</v>
      </c>
      <c r="E49" t="s">
        <v>85</v>
      </c>
    </row>
    <row r="50" spans="1:5" x14ac:dyDescent="0.25">
      <c r="A50" t="s">
        <v>84</v>
      </c>
      <c r="B50">
        <v>49</v>
      </c>
      <c r="C50">
        <v>98</v>
      </c>
      <c r="D50">
        <v>2</v>
      </c>
      <c r="E50" t="s">
        <v>85</v>
      </c>
    </row>
    <row r="51" spans="1:5" x14ac:dyDescent="0.25">
      <c r="A51" t="s">
        <v>84</v>
      </c>
      <c r="B51">
        <v>50</v>
      </c>
      <c r="C51">
        <v>83</v>
      </c>
      <c r="D51">
        <v>2</v>
      </c>
      <c r="E51" t="s">
        <v>85</v>
      </c>
    </row>
    <row r="52" spans="1:5" x14ac:dyDescent="0.25">
      <c r="A52" t="s">
        <v>84</v>
      </c>
      <c r="B52">
        <v>51</v>
      </c>
      <c r="C52">
        <v>82.27</v>
      </c>
      <c r="D52">
        <v>2</v>
      </c>
      <c r="E52" t="s">
        <v>85</v>
      </c>
    </row>
    <row r="53" spans="1:5" x14ac:dyDescent="0.25">
      <c r="A53" t="s">
        <v>84</v>
      </c>
      <c r="B53">
        <v>52</v>
      </c>
      <c r="C53">
        <v>82.27</v>
      </c>
      <c r="D53">
        <v>2</v>
      </c>
      <c r="E53" t="s">
        <v>85</v>
      </c>
    </row>
    <row r="54" spans="1:5" x14ac:dyDescent="0.25">
      <c r="A54" t="s">
        <v>84</v>
      </c>
      <c r="B54">
        <v>53</v>
      </c>
      <c r="C54">
        <v>79.12</v>
      </c>
      <c r="D54">
        <v>2</v>
      </c>
      <c r="E54" t="s">
        <v>85</v>
      </c>
    </row>
    <row r="55" spans="1:5" x14ac:dyDescent="0.25">
      <c r="A55" t="s">
        <v>84</v>
      </c>
      <c r="B55">
        <v>54</v>
      </c>
      <c r="C55">
        <v>80.16</v>
      </c>
      <c r="D55">
        <v>2</v>
      </c>
      <c r="E55" t="s">
        <v>85</v>
      </c>
    </row>
    <row r="56" spans="1:5" x14ac:dyDescent="0.25">
      <c r="A56" t="s">
        <v>84</v>
      </c>
      <c r="B56">
        <v>55</v>
      </c>
      <c r="C56">
        <v>82.45</v>
      </c>
      <c r="D56">
        <v>2</v>
      </c>
      <c r="E56" t="s">
        <v>85</v>
      </c>
    </row>
    <row r="57" spans="1:5" x14ac:dyDescent="0.25">
      <c r="A57" t="s">
        <v>84</v>
      </c>
      <c r="B57">
        <v>56</v>
      </c>
      <c r="C57">
        <v>82.45</v>
      </c>
      <c r="D57">
        <v>2</v>
      </c>
      <c r="E57" t="s">
        <v>85</v>
      </c>
    </row>
    <row r="58" spans="1:5" x14ac:dyDescent="0.25">
      <c r="A58" t="s">
        <v>84</v>
      </c>
      <c r="B58">
        <v>57</v>
      </c>
      <c r="C58">
        <v>82.64</v>
      </c>
      <c r="D58">
        <v>2</v>
      </c>
      <c r="E58" t="s">
        <v>85</v>
      </c>
    </row>
    <row r="59" spans="1:5" x14ac:dyDescent="0.25">
      <c r="A59" t="s">
        <v>84</v>
      </c>
      <c r="B59">
        <v>58</v>
      </c>
      <c r="C59">
        <v>83.91</v>
      </c>
      <c r="D59">
        <v>2</v>
      </c>
      <c r="E59" t="s">
        <v>85</v>
      </c>
    </row>
    <row r="60" spans="1:5" x14ac:dyDescent="0.25">
      <c r="A60" t="s">
        <v>84</v>
      </c>
      <c r="B60">
        <v>59</v>
      </c>
      <c r="C60">
        <v>85.36</v>
      </c>
      <c r="D60">
        <v>2</v>
      </c>
      <c r="E60" t="s">
        <v>85</v>
      </c>
    </row>
    <row r="61" spans="1:5" x14ac:dyDescent="0.25">
      <c r="A61" t="s">
        <v>84</v>
      </c>
      <c r="B61">
        <v>60</v>
      </c>
      <c r="C61">
        <v>90.36</v>
      </c>
      <c r="D61">
        <v>2</v>
      </c>
      <c r="E61" t="s">
        <v>85</v>
      </c>
    </row>
    <row r="62" spans="1:5" x14ac:dyDescent="0.25">
      <c r="A62" t="s">
        <v>84</v>
      </c>
      <c r="B62">
        <v>61</v>
      </c>
      <c r="C62">
        <v>78.97</v>
      </c>
      <c r="D62">
        <v>2</v>
      </c>
      <c r="E62" t="s">
        <v>85</v>
      </c>
    </row>
    <row r="63" spans="1:5" x14ac:dyDescent="0.25">
      <c r="A63" t="s">
        <v>84</v>
      </c>
      <c r="B63">
        <v>62</v>
      </c>
      <c r="C63">
        <v>80.16</v>
      </c>
      <c r="D63">
        <v>2</v>
      </c>
      <c r="E63" t="s">
        <v>85</v>
      </c>
    </row>
    <row r="64" spans="1:5" x14ac:dyDescent="0.25">
      <c r="A64" t="s">
        <v>84</v>
      </c>
      <c r="B64">
        <v>63</v>
      </c>
      <c r="C64">
        <v>82.7</v>
      </c>
      <c r="D64">
        <v>2</v>
      </c>
      <c r="E64" t="s">
        <v>85</v>
      </c>
    </row>
    <row r="65" spans="1:5" x14ac:dyDescent="0.25">
      <c r="A65" t="s">
        <v>84</v>
      </c>
      <c r="B65">
        <v>64</v>
      </c>
      <c r="C65">
        <v>84.7</v>
      </c>
      <c r="D65">
        <v>2</v>
      </c>
      <c r="E65" t="s">
        <v>85</v>
      </c>
    </row>
    <row r="66" spans="1:5" x14ac:dyDescent="0.25">
      <c r="A66" t="s">
        <v>84</v>
      </c>
      <c r="B66">
        <v>65</v>
      </c>
      <c r="C66">
        <v>82.65</v>
      </c>
      <c r="D66">
        <v>2</v>
      </c>
      <c r="E66" t="s">
        <v>85</v>
      </c>
    </row>
    <row r="67" spans="1:5" x14ac:dyDescent="0.25">
      <c r="A67" t="s">
        <v>84</v>
      </c>
      <c r="B67">
        <v>66</v>
      </c>
      <c r="C67">
        <v>86.989999999999895</v>
      </c>
      <c r="D67">
        <v>2</v>
      </c>
      <c r="E67" t="s">
        <v>85</v>
      </c>
    </row>
    <row r="68" spans="1:5" x14ac:dyDescent="0.25">
      <c r="A68" t="s">
        <v>84</v>
      </c>
      <c r="B68">
        <v>67</v>
      </c>
      <c r="C68">
        <v>102.54</v>
      </c>
      <c r="D68">
        <v>2</v>
      </c>
      <c r="E68" t="s">
        <v>85</v>
      </c>
    </row>
    <row r="69" spans="1:5" x14ac:dyDescent="0.25">
      <c r="A69" t="s">
        <v>84</v>
      </c>
      <c r="B69">
        <v>68</v>
      </c>
      <c r="C69">
        <v>103.04</v>
      </c>
      <c r="D69">
        <v>2</v>
      </c>
      <c r="E69" t="s">
        <v>85</v>
      </c>
    </row>
    <row r="70" spans="1:5" x14ac:dyDescent="0.25">
      <c r="A70" t="s">
        <v>84</v>
      </c>
      <c r="B70">
        <v>69</v>
      </c>
      <c r="C70">
        <v>83</v>
      </c>
      <c r="D70">
        <v>2</v>
      </c>
      <c r="E70" t="s">
        <v>85</v>
      </c>
    </row>
    <row r="71" spans="1:5" x14ac:dyDescent="0.25">
      <c r="A71" t="s">
        <v>84</v>
      </c>
      <c r="B71">
        <v>70</v>
      </c>
      <c r="C71">
        <v>88</v>
      </c>
      <c r="D71">
        <v>2</v>
      </c>
      <c r="E71" t="s">
        <v>85</v>
      </c>
    </row>
    <row r="72" spans="1:5" x14ac:dyDescent="0.25">
      <c r="A72" t="s">
        <v>84</v>
      </c>
      <c r="B72">
        <v>71</v>
      </c>
      <c r="C72">
        <v>98</v>
      </c>
      <c r="D72">
        <v>2</v>
      </c>
      <c r="E72" t="s">
        <v>85</v>
      </c>
    </row>
    <row r="73" spans="1:5" x14ac:dyDescent="0.25">
      <c r="A73" t="s">
        <v>84</v>
      </c>
      <c r="B73">
        <v>72</v>
      </c>
      <c r="C73">
        <v>107.92</v>
      </c>
      <c r="D73">
        <v>2</v>
      </c>
      <c r="E73" t="s">
        <v>85</v>
      </c>
    </row>
    <row r="74" spans="1:5" x14ac:dyDescent="0.25">
      <c r="A74" t="s">
        <v>84</v>
      </c>
      <c r="B74">
        <v>73</v>
      </c>
      <c r="C74">
        <v>97.03</v>
      </c>
      <c r="D74">
        <v>2</v>
      </c>
      <c r="E74" t="s">
        <v>85</v>
      </c>
    </row>
    <row r="75" spans="1:5" x14ac:dyDescent="0.25">
      <c r="A75" t="s">
        <v>84</v>
      </c>
      <c r="B75">
        <v>74</v>
      </c>
      <c r="C75">
        <v>102</v>
      </c>
      <c r="D75">
        <v>2</v>
      </c>
      <c r="E75" t="s">
        <v>85</v>
      </c>
    </row>
    <row r="76" spans="1:5" x14ac:dyDescent="0.25">
      <c r="A76" t="s">
        <v>84</v>
      </c>
      <c r="B76">
        <v>75</v>
      </c>
      <c r="C76">
        <v>117</v>
      </c>
      <c r="D76">
        <v>2</v>
      </c>
      <c r="E76" t="s">
        <v>85</v>
      </c>
    </row>
    <row r="77" spans="1:5" x14ac:dyDescent="0.25">
      <c r="A77" t="s">
        <v>84</v>
      </c>
      <c r="B77">
        <v>76</v>
      </c>
      <c r="C77">
        <v>117</v>
      </c>
      <c r="D77">
        <v>2</v>
      </c>
      <c r="E77" t="s">
        <v>85</v>
      </c>
    </row>
    <row r="78" spans="1:5" x14ac:dyDescent="0.25">
      <c r="A78" t="s">
        <v>84</v>
      </c>
      <c r="B78">
        <v>77</v>
      </c>
      <c r="C78">
        <v>126.49</v>
      </c>
      <c r="D78">
        <v>2</v>
      </c>
      <c r="E78" t="s">
        <v>85</v>
      </c>
    </row>
    <row r="79" spans="1:5" x14ac:dyDescent="0.25">
      <c r="A79" t="s">
        <v>84</v>
      </c>
      <c r="B79">
        <v>78</v>
      </c>
      <c r="C79">
        <v>148.83000000000001</v>
      </c>
      <c r="D79">
        <v>2</v>
      </c>
      <c r="E79" t="s">
        <v>85</v>
      </c>
    </row>
    <row r="80" spans="1:5" x14ac:dyDescent="0.25">
      <c r="A80" t="s">
        <v>84</v>
      </c>
      <c r="B80">
        <v>79</v>
      </c>
      <c r="C80">
        <v>163.94</v>
      </c>
      <c r="D80">
        <v>2</v>
      </c>
      <c r="E80" t="s">
        <v>85</v>
      </c>
    </row>
    <row r="81" spans="1:5" x14ac:dyDescent="0.25">
      <c r="A81" t="s">
        <v>84</v>
      </c>
      <c r="B81">
        <v>80</v>
      </c>
      <c r="C81">
        <v>168.83</v>
      </c>
      <c r="D81">
        <v>2</v>
      </c>
      <c r="E81" t="s">
        <v>85</v>
      </c>
    </row>
    <row r="82" spans="1:5" x14ac:dyDescent="0.25">
      <c r="A82" t="s">
        <v>84</v>
      </c>
      <c r="B82">
        <v>81</v>
      </c>
      <c r="C82">
        <v>117.7</v>
      </c>
      <c r="D82">
        <v>2</v>
      </c>
      <c r="E82" t="s">
        <v>85</v>
      </c>
    </row>
    <row r="83" spans="1:5" x14ac:dyDescent="0.25">
      <c r="A83" t="s">
        <v>84</v>
      </c>
      <c r="B83">
        <v>82</v>
      </c>
      <c r="C83">
        <v>114.8</v>
      </c>
      <c r="D83">
        <v>2</v>
      </c>
      <c r="E83" t="s">
        <v>85</v>
      </c>
    </row>
    <row r="84" spans="1:5" x14ac:dyDescent="0.25">
      <c r="A84" t="s">
        <v>84</v>
      </c>
      <c r="B84">
        <v>83</v>
      </c>
      <c r="C84">
        <v>114.8</v>
      </c>
      <c r="D84">
        <v>2</v>
      </c>
      <c r="E84" t="s">
        <v>85</v>
      </c>
    </row>
    <row r="85" spans="1:5" x14ac:dyDescent="0.25">
      <c r="A85" t="s">
        <v>84</v>
      </c>
      <c r="B85">
        <v>84</v>
      </c>
      <c r="C85">
        <v>101.79</v>
      </c>
      <c r="D85">
        <v>2</v>
      </c>
      <c r="E85" t="s">
        <v>85</v>
      </c>
    </row>
    <row r="86" spans="1:5" x14ac:dyDescent="0.25">
      <c r="A86" t="s">
        <v>84</v>
      </c>
      <c r="B86">
        <v>85</v>
      </c>
      <c r="C86">
        <v>101.89</v>
      </c>
      <c r="D86">
        <v>2</v>
      </c>
      <c r="E86" t="s">
        <v>85</v>
      </c>
    </row>
    <row r="87" spans="1:5" x14ac:dyDescent="0.25">
      <c r="A87" t="s">
        <v>84</v>
      </c>
      <c r="B87">
        <v>86</v>
      </c>
      <c r="C87">
        <v>93.28</v>
      </c>
      <c r="D87">
        <v>2</v>
      </c>
      <c r="E87" t="s">
        <v>85</v>
      </c>
    </row>
    <row r="88" spans="1:5" x14ac:dyDescent="0.25">
      <c r="A88" t="s">
        <v>84</v>
      </c>
      <c r="B88">
        <v>87</v>
      </c>
      <c r="C88">
        <v>89.3</v>
      </c>
      <c r="D88">
        <v>2</v>
      </c>
      <c r="E88" t="s">
        <v>85</v>
      </c>
    </row>
    <row r="89" spans="1:5" x14ac:dyDescent="0.25">
      <c r="A89" t="s">
        <v>84</v>
      </c>
      <c r="B89">
        <v>88</v>
      </c>
      <c r="C89">
        <v>83.58</v>
      </c>
      <c r="D89">
        <v>2</v>
      </c>
      <c r="E89" t="s">
        <v>85</v>
      </c>
    </row>
    <row r="90" spans="1:5" x14ac:dyDescent="0.25">
      <c r="A90" t="s">
        <v>84</v>
      </c>
      <c r="B90">
        <v>89</v>
      </c>
      <c r="C90">
        <v>93.34</v>
      </c>
      <c r="D90">
        <v>2</v>
      </c>
      <c r="E90" t="s">
        <v>85</v>
      </c>
    </row>
    <row r="91" spans="1:5" x14ac:dyDescent="0.25">
      <c r="A91" t="s">
        <v>84</v>
      </c>
      <c r="B91">
        <v>90</v>
      </c>
      <c r="C91">
        <v>97</v>
      </c>
      <c r="D91">
        <v>2</v>
      </c>
      <c r="E91" t="s">
        <v>85</v>
      </c>
    </row>
    <row r="92" spans="1:5" x14ac:dyDescent="0.25">
      <c r="A92" t="s">
        <v>84</v>
      </c>
      <c r="B92">
        <v>91</v>
      </c>
      <c r="C92">
        <v>87.62</v>
      </c>
      <c r="D92">
        <v>2</v>
      </c>
      <c r="E92" t="s">
        <v>85</v>
      </c>
    </row>
    <row r="93" spans="1:5" x14ac:dyDescent="0.25">
      <c r="A93" t="s">
        <v>84</v>
      </c>
      <c r="B93">
        <v>92</v>
      </c>
      <c r="C93">
        <v>81.53</v>
      </c>
      <c r="D93">
        <v>2</v>
      </c>
      <c r="E93" t="s">
        <v>85</v>
      </c>
    </row>
    <row r="94" spans="1:5" x14ac:dyDescent="0.25">
      <c r="A94" t="s">
        <v>84</v>
      </c>
      <c r="B94">
        <v>93</v>
      </c>
      <c r="C94">
        <v>93.36</v>
      </c>
      <c r="D94">
        <v>2</v>
      </c>
      <c r="E94" t="s">
        <v>85</v>
      </c>
    </row>
    <row r="95" spans="1:5" x14ac:dyDescent="0.25">
      <c r="A95" t="s">
        <v>84</v>
      </c>
      <c r="B95">
        <v>94</v>
      </c>
      <c r="C95">
        <v>92.44</v>
      </c>
      <c r="D95">
        <v>2</v>
      </c>
      <c r="E95" t="s">
        <v>85</v>
      </c>
    </row>
    <row r="96" spans="1:5" x14ac:dyDescent="0.25">
      <c r="A96" t="s">
        <v>84</v>
      </c>
      <c r="B96">
        <v>95</v>
      </c>
      <c r="C96">
        <v>81.48</v>
      </c>
      <c r="D96">
        <v>2</v>
      </c>
      <c r="E96" t="s">
        <v>85</v>
      </c>
    </row>
    <row r="97" spans="1:5" x14ac:dyDescent="0.25">
      <c r="A97" t="s">
        <v>84</v>
      </c>
      <c r="B97">
        <v>96</v>
      </c>
      <c r="C97">
        <v>78.069999999999894</v>
      </c>
      <c r="D97">
        <v>2</v>
      </c>
      <c r="E97" t="s">
        <v>85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6"/>
  <dimension ref="A1:E97"/>
  <sheetViews>
    <sheetView workbookViewId="0">
      <selection activeCell="M25" sqref="M25"/>
    </sheetView>
  </sheetViews>
  <sheetFormatPr defaultRowHeight="15" x14ac:dyDescent="0.25"/>
  <sheetData>
    <row r="1" spans="1:5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</row>
    <row r="2" spans="1:5" x14ac:dyDescent="0.25">
      <c r="A2" t="s">
        <v>84</v>
      </c>
      <c r="B2">
        <v>1</v>
      </c>
      <c r="C2">
        <v>116.74</v>
      </c>
      <c r="D2">
        <v>6</v>
      </c>
      <c r="E2" t="s">
        <v>85</v>
      </c>
    </row>
    <row r="3" spans="1:5" x14ac:dyDescent="0.25">
      <c r="A3" t="s">
        <v>84</v>
      </c>
      <c r="B3">
        <v>2</v>
      </c>
      <c r="C3">
        <v>116.74</v>
      </c>
      <c r="D3">
        <v>6</v>
      </c>
      <c r="E3" t="s">
        <v>85</v>
      </c>
    </row>
    <row r="4" spans="1:5" x14ac:dyDescent="0.25">
      <c r="A4" t="s">
        <v>84</v>
      </c>
      <c r="B4">
        <v>3</v>
      </c>
      <c r="C4">
        <v>101.79</v>
      </c>
      <c r="D4">
        <v>6</v>
      </c>
      <c r="E4" t="s">
        <v>85</v>
      </c>
    </row>
    <row r="5" spans="1:5" x14ac:dyDescent="0.25">
      <c r="A5" t="s">
        <v>84</v>
      </c>
      <c r="B5">
        <v>4</v>
      </c>
      <c r="C5">
        <v>86.739999999999895</v>
      </c>
      <c r="D5">
        <v>6</v>
      </c>
      <c r="E5" t="s">
        <v>85</v>
      </c>
    </row>
    <row r="6" spans="1:5" x14ac:dyDescent="0.25">
      <c r="A6" t="s">
        <v>84</v>
      </c>
      <c r="B6">
        <v>5</v>
      </c>
      <c r="C6">
        <v>89.48</v>
      </c>
      <c r="D6">
        <v>6</v>
      </c>
      <c r="E6" t="s">
        <v>85</v>
      </c>
    </row>
    <row r="7" spans="1:5" x14ac:dyDescent="0.25">
      <c r="A7" t="s">
        <v>84</v>
      </c>
      <c r="B7">
        <v>6</v>
      </c>
      <c r="C7">
        <v>89.069999999998998</v>
      </c>
      <c r="D7">
        <v>6</v>
      </c>
      <c r="E7" t="s">
        <v>85</v>
      </c>
    </row>
    <row r="8" spans="1:5" x14ac:dyDescent="0.25">
      <c r="A8" t="s">
        <v>84</v>
      </c>
      <c r="B8">
        <v>7</v>
      </c>
      <c r="C8">
        <v>82.34</v>
      </c>
      <c r="D8">
        <v>6</v>
      </c>
      <c r="E8" t="s">
        <v>85</v>
      </c>
    </row>
    <row r="9" spans="1:5" x14ac:dyDescent="0.25">
      <c r="A9" t="s">
        <v>84</v>
      </c>
      <c r="B9">
        <v>8</v>
      </c>
      <c r="C9">
        <v>89.48</v>
      </c>
      <c r="D9">
        <v>6</v>
      </c>
      <c r="E9" t="s">
        <v>85</v>
      </c>
    </row>
    <row r="10" spans="1:5" x14ac:dyDescent="0.25">
      <c r="A10" t="s">
        <v>84</v>
      </c>
      <c r="B10">
        <v>9</v>
      </c>
      <c r="C10">
        <v>92.72</v>
      </c>
      <c r="D10">
        <v>6</v>
      </c>
      <c r="E10" t="s">
        <v>85</v>
      </c>
    </row>
    <row r="11" spans="1:5" x14ac:dyDescent="0.25">
      <c r="A11" t="s">
        <v>84</v>
      </c>
      <c r="B11">
        <v>10</v>
      </c>
      <c r="C11">
        <v>92.72</v>
      </c>
      <c r="D11">
        <v>6</v>
      </c>
      <c r="E11" t="s">
        <v>85</v>
      </c>
    </row>
    <row r="12" spans="1:5" x14ac:dyDescent="0.25">
      <c r="A12" t="s">
        <v>84</v>
      </c>
      <c r="B12">
        <v>11</v>
      </c>
      <c r="C12">
        <v>92.72</v>
      </c>
      <c r="D12">
        <v>6</v>
      </c>
      <c r="E12" t="s">
        <v>85</v>
      </c>
    </row>
    <row r="13" spans="1:5" x14ac:dyDescent="0.25">
      <c r="A13" t="s">
        <v>84</v>
      </c>
      <c r="B13">
        <v>12</v>
      </c>
      <c r="C13">
        <v>92.72</v>
      </c>
      <c r="D13">
        <v>6</v>
      </c>
      <c r="E13" t="s">
        <v>85</v>
      </c>
    </row>
    <row r="14" spans="1:5" x14ac:dyDescent="0.25">
      <c r="A14" t="s">
        <v>84</v>
      </c>
      <c r="B14">
        <v>13</v>
      </c>
      <c r="C14">
        <v>96.47</v>
      </c>
      <c r="D14">
        <v>6</v>
      </c>
      <c r="E14" t="s">
        <v>85</v>
      </c>
    </row>
    <row r="15" spans="1:5" x14ac:dyDescent="0.25">
      <c r="A15" t="s">
        <v>84</v>
      </c>
      <c r="B15">
        <v>14</v>
      </c>
      <c r="C15">
        <v>96.47</v>
      </c>
      <c r="D15">
        <v>6</v>
      </c>
      <c r="E15" t="s">
        <v>85</v>
      </c>
    </row>
    <row r="16" spans="1:5" x14ac:dyDescent="0.25">
      <c r="A16" t="s">
        <v>84</v>
      </c>
      <c r="B16">
        <v>15</v>
      </c>
      <c r="C16">
        <v>96.47</v>
      </c>
      <c r="D16">
        <v>6</v>
      </c>
      <c r="E16" t="s">
        <v>85</v>
      </c>
    </row>
    <row r="17" spans="1:5" x14ac:dyDescent="0.25">
      <c r="A17" t="s">
        <v>84</v>
      </c>
      <c r="B17">
        <v>16</v>
      </c>
      <c r="C17">
        <v>96.47</v>
      </c>
      <c r="D17">
        <v>6</v>
      </c>
      <c r="E17" t="s">
        <v>85</v>
      </c>
    </row>
    <row r="18" spans="1:5" x14ac:dyDescent="0.25">
      <c r="A18" t="s">
        <v>84</v>
      </c>
      <c r="B18">
        <v>17</v>
      </c>
      <c r="C18">
        <v>96.459999999998999</v>
      </c>
      <c r="D18">
        <v>6</v>
      </c>
      <c r="E18" t="s">
        <v>85</v>
      </c>
    </row>
    <row r="19" spans="1:5" x14ac:dyDescent="0.25">
      <c r="A19" t="s">
        <v>84</v>
      </c>
      <c r="B19">
        <v>18</v>
      </c>
      <c r="C19">
        <v>96.459999999998999</v>
      </c>
      <c r="D19">
        <v>6</v>
      </c>
      <c r="E19" t="s">
        <v>85</v>
      </c>
    </row>
    <row r="20" spans="1:5" x14ac:dyDescent="0.25">
      <c r="A20" t="s">
        <v>84</v>
      </c>
      <c r="B20">
        <v>19</v>
      </c>
      <c r="C20">
        <v>96.459999999998999</v>
      </c>
      <c r="D20">
        <v>6</v>
      </c>
      <c r="E20" t="s">
        <v>85</v>
      </c>
    </row>
    <row r="21" spans="1:5" x14ac:dyDescent="0.25">
      <c r="A21" t="s">
        <v>84</v>
      </c>
      <c r="B21">
        <v>20</v>
      </c>
      <c r="C21">
        <v>96.459999999998999</v>
      </c>
      <c r="D21">
        <v>6</v>
      </c>
      <c r="E21" t="s">
        <v>85</v>
      </c>
    </row>
    <row r="22" spans="1:5" x14ac:dyDescent="0.25">
      <c r="A22" t="s">
        <v>84</v>
      </c>
      <c r="B22">
        <v>21</v>
      </c>
      <c r="C22">
        <v>77.48</v>
      </c>
      <c r="D22">
        <v>6</v>
      </c>
      <c r="E22" t="s">
        <v>85</v>
      </c>
    </row>
    <row r="23" spans="1:5" x14ac:dyDescent="0.25">
      <c r="A23" t="s">
        <v>84</v>
      </c>
      <c r="B23">
        <v>22</v>
      </c>
      <c r="C23">
        <v>77.48</v>
      </c>
      <c r="D23">
        <v>6</v>
      </c>
      <c r="E23" t="s">
        <v>85</v>
      </c>
    </row>
    <row r="24" spans="1:5" x14ac:dyDescent="0.25">
      <c r="A24" t="s">
        <v>84</v>
      </c>
      <c r="B24">
        <v>23</v>
      </c>
      <c r="C24">
        <v>84.08</v>
      </c>
      <c r="D24">
        <v>6</v>
      </c>
      <c r="E24" t="s">
        <v>85</v>
      </c>
    </row>
    <row r="25" spans="1:5" x14ac:dyDescent="0.25">
      <c r="A25" t="s">
        <v>84</v>
      </c>
      <c r="B25">
        <v>24</v>
      </c>
      <c r="C25">
        <v>96</v>
      </c>
      <c r="D25">
        <v>6</v>
      </c>
      <c r="E25" t="s">
        <v>85</v>
      </c>
    </row>
    <row r="26" spans="1:5" x14ac:dyDescent="0.25">
      <c r="A26" t="s">
        <v>84</v>
      </c>
      <c r="B26">
        <v>25</v>
      </c>
      <c r="C26">
        <v>77.3</v>
      </c>
      <c r="D26">
        <v>6</v>
      </c>
      <c r="E26" t="s">
        <v>85</v>
      </c>
    </row>
    <row r="27" spans="1:5" x14ac:dyDescent="0.25">
      <c r="A27" t="s">
        <v>84</v>
      </c>
      <c r="B27">
        <v>26</v>
      </c>
      <c r="C27">
        <v>100.3</v>
      </c>
      <c r="D27">
        <v>6</v>
      </c>
      <c r="E27" t="s">
        <v>85</v>
      </c>
    </row>
    <row r="28" spans="1:5" x14ac:dyDescent="0.25">
      <c r="A28" t="s">
        <v>84</v>
      </c>
      <c r="B28">
        <v>27</v>
      </c>
      <c r="C28">
        <v>115</v>
      </c>
      <c r="D28">
        <v>6</v>
      </c>
      <c r="E28" t="s">
        <v>85</v>
      </c>
    </row>
    <row r="29" spans="1:5" x14ac:dyDescent="0.25">
      <c r="A29" t="s">
        <v>84</v>
      </c>
      <c r="B29">
        <v>28</v>
      </c>
      <c r="C29">
        <v>116.28</v>
      </c>
      <c r="D29">
        <v>6</v>
      </c>
      <c r="E29" t="s">
        <v>85</v>
      </c>
    </row>
    <row r="30" spans="1:5" x14ac:dyDescent="0.25">
      <c r="A30" t="s">
        <v>84</v>
      </c>
      <c r="B30">
        <v>29</v>
      </c>
      <c r="C30">
        <v>110.02</v>
      </c>
      <c r="D30">
        <v>6</v>
      </c>
      <c r="E30" t="s">
        <v>85</v>
      </c>
    </row>
    <row r="31" spans="1:5" x14ac:dyDescent="0.25">
      <c r="A31" t="s">
        <v>84</v>
      </c>
      <c r="B31">
        <v>30</v>
      </c>
      <c r="C31">
        <v>111.22</v>
      </c>
      <c r="D31">
        <v>6</v>
      </c>
      <c r="E31" t="s">
        <v>85</v>
      </c>
    </row>
    <row r="32" spans="1:5" x14ac:dyDescent="0.25">
      <c r="A32" t="s">
        <v>84</v>
      </c>
      <c r="B32">
        <v>31</v>
      </c>
      <c r="C32">
        <v>115.02</v>
      </c>
      <c r="D32">
        <v>6</v>
      </c>
      <c r="E32" t="s">
        <v>85</v>
      </c>
    </row>
    <row r="33" spans="1:5" x14ac:dyDescent="0.25">
      <c r="A33" t="s">
        <v>84</v>
      </c>
      <c r="B33">
        <v>32</v>
      </c>
      <c r="C33">
        <v>121.19</v>
      </c>
      <c r="D33">
        <v>6</v>
      </c>
      <c r="E33" t="s">
        <v>85</v>
      </c>
    </row>
    <row r="34" spans="1:5" x14ac:dyDescent="0.25">
      <c r="A34" t="s">
        <v>84</v>
      </c>
      <c r="B34">
        <v>33</v>
      </c>
      <c r="C34">
        <v>133</v>
      </c>
      <c r="D34">
        <v>6</v>
      </c>
      <c r="E34" t="s">
        <v>85</v>
      </c>
    </row>
    <row r="35" spans="1:5" x14ac:dyDescent="0.25">
      <c r="A35" t="s">
        <v>84</v>
      </c>
      <c r="B35">
        <v>34</v>
      </c>
      <c r="C35">
        <v>133</v>
      </c>
      <c r="D35">
        <v>6</v>
      </c>
      <c r="E35" t="s">
        <v>85</v>
      </c>
    </row>
    <row r="36" spans="1:5" x14ac:dyDescent="0.25">
      <c r="A36" t="s">
        <v>84</v>
      </c>
      <c r="B36">
        <v>35</v>
      </c>
      <c r="C36">
        <v>133</v>
      </c>
      <c r="D36">
        <v>6</v>
      </c>
      <c r="E36" t="s">
        <v>85</v>
      </c>
    </row>
    <row r="37" spans="1:5" x14ac:dyDescent="0.25">
      <c r="A37" t="s">
        <v>84</v>
      </c>
      <c r="B37">
        <v>36</v>
      </c>
      <c r="C37">
        <v>121.21</v>
      </c>
      <c r="D37">
        <v>6</v>
      </c>
      <c r="E37" t="s">
        <v>85</v>
      </c>
    </row>
    <row r="38" spans="1:5" x14ac:dyDescent="0.25">
      <c r="A38" t="s">
        <v>84</v>
      </c>
      <c r="B38">
        <v>37</v>
      </c>
      <c r="C38">
        <v>110.489999999999</v>
      </c>
      <c r="D38">
        <v>6</v>
      </c>
      <c r="E38" t="s">
        <v>85</v>
      </c>
    </row>
    <row r="39" spans="1:5" x14ac:dyDescent="0.25">
      <c r="A39" t="s">
        <v>84</v>
      </c>
      <c r="B39">
        <v>38</v>
      </c>
      <c r="C39">
        <v>110.489999999999</v>
      </c>
      <c r="D39">
        <v>6</v>
      </c>
      <c r="E39" t="s">
        <v>85</v>
      </c>
    </row>
    <row r="40" spans="1:5" x14ac:dyDescent="0.25">
      <c r="A40" t="s">
        <v>84</v>
      </c>
      <c r="B40">
        <v>39</v>
      </c>
      <c r="C40">
        <v>102</v>
      </c>
      <c r="D40">
        <v>6</v>
      </c>
      <c r="E40" t="s">
        <v>85</v>
      </c>
    </row>
    <row r="41" spans="1:5" x14ac:dyDescent="0.25">
      <c r="A41" t="s">
        <v>84</v>
      </c>
      <c r="B41">
        <v>40</v>
      </c>
      <c r="C41">
        <v>90.489999999999</v>
      </c>
      <c r="D41">
        <v>6</v>
      </c>
      <c r="E41" t="s">
        <v>85</v>
      </c>
    </row>
    <row r="42" spans="1:5" x14ac:dyDescent="0.25">
      <c r="A42" t="s">
        <v>84</v>
      </c>
      <c r="B42">
        <v>41</v>
      </c>
      <c r="C42">
        <v>113</v>
      </c>
      <c r="D42">
        <v>6</v>
      </c>
      <c r="E42" t="s">
        <v>85</v>
      </c>
    </row>
    <row r="43" spans="1:5" x14ac:dyDescent="0.25">
      <c r="A43" t="s">
        <v>84</v>
      </c>
      <c r="B43">
        <v>42</v>
      </c>
      <c r="C43">
        <v>108.09</v>
      </c>
      <c r="D43">
        <v>6</v>
      </c>
      <c r="E43" t="s">
        <v>85</v>
      </c>
    </row>
    <row r="44" spans="1:5" x14ac:dyDescent="0.25">
      <c r="A44" t="s">
        <v>84</v>
      </c>
      <c r="B44">
        <v>43</v>
      </c>
      <c r="C44">
        <v>94</v>
      </c>
      <c r="D44">
        <v>6</v>
      </c>
      <c r="E44" t="s">
        <v>85</v>
      </c>
    </row>
    <row r="45" spans="1:5" x14ac:dyDescent="0.25">
      <c r="A45" t="s">
        <v>84</v>
      </c>
      <c r="B45">
        <v>44</v>
      </c>
      <c r="C45">
        <v>87.93</v>
      </c>
      <c r="D45">
        <v>6</v>
      </c>
      <c r="E45" t="s">
        <v>85</v>
      </c>
    </row>
    <row r="46" spans="1:5" x14ac:dyDescent="0.25">
      <c r="A46" t="s">
        <v>84</v>
      </c>
      <c r="B46">
        <v>45</v>
      </c>
      <c r="C46">
        <v>101.5</v>
      </c>
      <c r="D46">
        <v>6</v>
      </c>
      <c r="E46" t="s">
        <v>85</v>
      </c>
    </row>
    <row r="47" spans="1:5" x14ac:dyDescent="0.25">
      <c r="A47" t="s">
        <v>84</v>
      </c>
      <c r="B47">
        <v>46</v>
      </c>
      <c r="C47">
        <v>96.88</v>
      </c>
      <c r="D47">
        <v>6</v>
      </c>
      <c r="E47" t="s">
        <v>85</v>
      </c>
    </row>
    <row r="48" spans="1:5" x14ac:dyDescent="0.25">
      <c r="A48" t="s">
        <v>84</v>
      </c>
      <c r="B48">
        <v>47</v>
      </c>
      <c r="C48">
        <v>81</v>
      </c>
      <c r="D48">
        <v>6</v>
      </c>
      <c r="E48" t="s">
        <v>85</v>
      </c>
    </row>
    <row r="49" spans="1:5" x14ac:dyDescent="0.25">
      <c r="A49" t="s">
        <v>84</v>
      </c>
      <c r="B49">
        <v>48</v>
      </c>
      <c r="C49">
        <v>77</v>
      </c>
      <c r="D49">
        <v>6</v>
      </c>
      <c r="E49" t="s">
        <v>85</v>
      </c>
    </row>
    <row r="50" spans="1:5" x14ac:dyDescent="0.25">
      <c r="A50" t="s">
        <v>84</v>
      </c>
      <c r="B50">
        <v>49</v>
      </c>
      <c r="C50">
        <v>93</v>
      </c>
      <c r="D50">
        <v>6</v>
      </c>
      <c r="E50" t="s">
        <v>85</v>
      </c>
    </row>
    <row r="51" spans="1:5" x14ac:dyDescent="0.25">
      <c r="A51" t="s">
        <v>84</v>
      </c>
      <c r="B51">
        <v>50</v>
      </c>
      <c r="C51">
        <v>78</v>
      </c>
      <c r="D51">
        <v>6</v>
      </c>
      <c r="E51" t="s">
        <v>85</v>
      </c>
    </row>
    <row r="52" spans="1:5" x14ac:dyDescent="0.25">
      <c r="A52" t="s">
        <v>84</v>
      </c>
      <c r="B52">
        <v>51</v>
      </c>
      <c r="C52">
        <v>77.27</v>
      </c>
      <c r="D52">
        <v>6</v>
      </c>
      <c r="E52" t="s">
        <v>85</v>
      </c>
    </row>
    <row r="53" spans="1:5" x14ac:dyDescent="0.25">
      <c r="A53" t="s">
        <v>84</v>
      </c>
      <c r="B53">
        <v>52</v>
      </c>
      <c r="C53">
        <v>77.27</v>
      </c>
      <c r="D53">
        <v>6</v>
      </c>
      <c r="E53" t="s">
        <v>85</v>
      </c>
    </row>
    <row r="54" spans="1:5" x14ac:dyDescent="0.25">
      <c r="A54" t="s">
        <v>84</v>
      </c>
      <c r="B54">
        <v>53</v>
      </c>
      <c r="C54">
        <v>74.12</v>
      </c>
      <c r="D54">
        <v>6</v>
      </c>
      <c r="E54" t="s">
        <v>85</v>
      </c>
    </row>
    <row r="55" spans="1:5" x14ac:dyDescent="0.25">
      <c r="A55" t="s">
        <v>84</v>
      </c>
      <c r="B55">
        <v>54</v>
      </c>
      <c r="C55">
        <v>75.16</v>
      </c>
      <c r="D55">
        <v>6</v>
      </c>
      <c r="E55" t="s">
        <v>85</v>
      </c>
    </row>
    <row r="56" spans="1:5" x14ac:dyDescent="0.25">
      <c r="A56" t="s">
        <v>84</v>
      </c>
      <c r="B56">
        <v>55</v>
      </c>
      <c r="C56">
        <v>77.45</v>
      </c>
      <c r="D56">
        <v>6</v>
      </c>
      <c r="E56" t="s">
        <v>85</v>
      </c>
    </row>
    <row r="57" spans="1:5" x14ac:dyDescent="0.25">
      <c r="A57" t="s">
        <v>84</v>
      </c>
      <c r="B57">
        <v>56</v>
      </c>
      <c r="C57">
        <v>77.45</v>
      </c>
      <c r="D57">
        <v>6</v>
      </c>
      <c r="E57" t="s">
        <v>85</v>
      </c>
    </row>
    <row r="58" spans="1:5" x14ac:dyDescent="0.25">
      <c r="A58" t="s">
        <v>84</v>
      </c>
      <c r="B58">
        <v>57</v>
      </c>
      <c r="C58">
        <v>77.64</v>
      </c>
      <c r="D58">
        <v>6</v>
      </c>
      <c r="E58" t="s">
        <v>85</v>
      </c>
    </row>
    <row r="59" spans="1:5" x14ac:dyDescent="0.25">
      <c r="A59" t="s">
        <v>84</v>
      </c>
      <c r="B59">
        <v>58</v>
      </c>
      <c r="C59">
        <v>78.91</v>
      </c>
      <c r="D59">
        <v>6</v>
      </c>
      <c r="E59" t="s">
        <v>85</v>
      </c>
    </row>
    <row r="60" spans="1:5" x14ac:dyDescent="0.25">
      <c r="A60" t="s">
        <v>84</v>
      </c>
      <c r="B60">
        <v>59</v>
      </c>
      <c r="C60">
        <v>80.36</v>
      </c>
      <c r="D60">
        <v>6</v>
      </c>
      <c r="E60" t="s">
        <v>85</v>
      </c>
    </row>
    <row r="61" spans="1:5" x14ac:dyDescent="0.25">
      <c r="A61" t="s">
        <v>84</v>
      </c>
      <c r="B61">
        <v>60</v>
      </c>
      <c r="C61">
        <v>85.36</v>
      </c>
      <c r="D61">
        <v>6</v>
      </c>
      <c r="E61" t="s">
        <v>85</v>
      </c>
    </row>
    <row r="62" spans="1:5" x14ac:dyDescent="0.25">
      <c r="A62" t="s">
        <v>84</v>
      </c>
      <c r="B62">
        <v>61</v>
      </c>
      <c r="C62">
        <v>73.97</v>
      </c>
      <c r="D62">
        <v>6</v>
      </c>
      <c r="E62" t="s">
        <v>85</v>
      </c>
    </row>
    <row r="63" spans="1:5" x14ac:dyDescent="0.25">
      <c r="A63" t="s">
        <v>84</v>
      </c>
      <c r="B63">
        <v>62</v>
      </c>
      <c r="C63">
        <v>75.16</v>
      </c>
      <c r="D63">
        <v>6</v>
      </c>
      <c r="E63" t="s">
        <v>85</v>
      </c>
    </row>
    <row r="64" spans="1:5" x14ac:dyDescent="0.25">
      <c r="A64" t="s">
        <v>84</v>
      </c>
      <c r="B64">
        <v>63</v>
      </c>
      <c r="C64">
        <v>77.7</v>
      </c>
      <c r="D64">
        <v>6</v>
      </c>
      <c r="E64" t="s">
        <v>85</v>
      </c>
    </row>
    <row r="65" spans="1:5" x14ac:dyDescent="0.25">
      <c r="A65" t="s">
        <v>84</v>
      </c>
      <c r="B65">
        <v>64</v>
      </c>
      <c r="C65">
        <v>79.7</v>
      </c>
      <c r="D65">
        <v>6</v>
      </c>
      <c r="E65" t="s">
        <v>85</v>
      </c>
    </row>
    <row r="66" spans="1:5" x14ac:dyDescent="0.25">
      <c r="A66" t="s">
        <v>84</v>
      </c>
      <c r="B66">
        <v>65</v>
      </c>
      <c r="C66">
        <v>77.650000000000006</v>
      </c>
      <c r="D66">
        <v>6</v>
      </c>
      <c r="E66" t="s">
        <v>85</v>
      </c>
    </row>
    <row r="67" spans="1:5" x14ac:dyDescent="0.25">
      <c r="A67" t="s">
        <v>84</v>
      </c>
      <c r="B67">
        <v>66</v>
      </c>
      <c r="C67">
        <v>81.989999999999895</v>
      </c>
      <c r="D67">
        <v>6</v>
      </c>
      <c r="E67" t="s">
        <v>85</v>
      </c>
    </row>
    <row r="68" spans="1:5" x14ac:dyDescent="0.25">
      <c r="A68" t="s">
        <v>84</v>
      </c>
      <c r="B68">
        <v>67</v>
      </c>
      <c r="C68">
        <v>97.54</v>
      </c>
      <c r="D68">
        <v>6</v>
      </c>
      <c r="E68" t="s">
        <v>85</v>
      </c>
    </row>
    <row r="69" spans="1:5" x14ac:dyDescent="0.25">
      <c r="A69" t="s">
        <v>84</v>
      </c>
      <c r="B69">
        <v>68</v>
      </c>
      <c r="C69">
        <v>98.04</v>
      </c>
      <c r="D69">
        <v>6</v>
      </c>
      <c r="E69" t="s">
        <v>85</v>
      </c>
    </row>
    <row r="70" spans="1:5" x14ac:dyDescent="0.25">
      <c r="A70" t="s">
        <v>84</v>
      </c>
      <c r="B70">
        <v>69</v>
      </c>
      <c r="C70">
        <v>78</v>
      </c>
      <c r="D70">
        <v>6</v>
      </c>
      <c r="E70" t="s">
        <v>85</v>
      </c>
    </row>
    <row r="71" spans="1:5" x14ac:dyDescent="0.25">
      <c r="A71" t="s">
        <v>84</v>
      </c>
      <c r="B71">
        <v>70</v>
      </c>
      <c r="C71">
        <v>83</v>
      </c>
      <c r="D71">
        <v>6</v>
      </c>
      <c r="E71" t="s">
        <v>85</v>
      </c>
    </row>
    <row r="72" spans="1:5" x14ac:dyDescent="0.25">
      <c r="A72" t="s">
        <v>84</v>
      </c>
      <c r="B72">
        <v>71</v>
      </c>
      <c r="C72">
        <v>93</v>
      </c>
      <c r="D72">
        <v>6</v>
      </c>
      <c r="E72" t="s">
        <v>85</v>
      </c>
    </row>
    <row r="73" spans="1:5" x14ac:dyDescent="0.25">
      <c r="A73" t="s">
        <v>84</v>
      </c>
      <c r="B73">
        <v>72</v>
      </c>
      <c r="C73">
        <v>102.92</v>
      </c>
      <c r="D73">
        <v>6</v>
      </c>
      <c r="E73" t="s">
        <v>85</v>
      </c>
    </row>
    <row r="74" spans="1:5" x14ac:dyDescent="0.25">
      <c r="A74" t="s">
        <v>84</v>
      </c>
      <c r="B74">
        <v>73</v>
      </c>
      <c r="C74">
        <v>92.03</v>
      </c>
      <c r="D74">
        <v>6</v>
      </c>
      <c r="E74" t="s">
        <v>85</v>
      </c>
    </row>
    <row r="75" spans="1:5" x14ac:dyDescent="0.25">
      <c r="A75" t="s">
        <v>84</v>
      </c>
      <c r="B75">
        <v>74</v>
      </c>
      <c r="C75">
        <v>97</v>
      </c>
      <c r="D75">
        <v>6</v>
      </c>
      <c r="E75" t="s">
        <v>85</v>
      </c>
    </row>
    <row r="76" spans="1:5" x14ac:dyDescent="0.25">
      <c r="A76" t="s">
        <v>84</v>
      </c>
      <c r="B76">
        <v>75</v>
      </c>
      <c r="C76">
        <v>112</v>
      </c>
      <c r="D76">
        <v>6</v>
      </c>
      <c r="E76" t="s">
        <v>85</v>
      </c>
    </row>
    <row r="77" spans="1:5" x14ac:dyDescent="0.25">
      <c r="A77" t="s">
        <v>84</v>
      </c>
      <c r="B77">
        <v>76</v>
      </c>
      <c r="C77">
        <v>112</v>
      </c>
      <c r="D77">
        <v>6</v>
      </c>
      <c r="E77" t="s">
        <v>85</v>
      </c>
    </row>
    <row r="78" spans="1:5" x14ac:dyDescent="0.25">
      <c r="A78" t="s">
        <v>84</v>
      </c>
      <c r="B78">
        <v>77</v>
      </c>
      <c r="C78">
        <v>121.49</v>
      </c>
      <c r="D78">
        <v>6</v>
      </c>
      <c r="E78" t="s">
        <v>85</v>
      </c>
    </row>
    <row r="79" spans="1:5" x14ac:dyDescent="0.25">
      <c r="A79" t="s">
        <v>84</v>
      </c>
      <c r="B79">
        <v>78</v>
      </c>
      <c r="C79">
        <v>143.83000000000001</v>
      </c>
      <c r="D79">
        <v>6</v>
      </c>
      <c r="E79" t="s">
        <v>85</v>
      </c>
    </row>
    <row r="80" spans="1:5" x14ac:dyDescent="0.25">
      <c r="A80" t="s">
        <v>84</v>
      </c>
      <c r="B80">
        <v>79</v>
      </c>
      <c r="C80">
        <v>158.94</v>
      </c>
      <c r="D80">
        <v>6</v>
      </c>
      <c r="E80" t="s">
        <v>85</v>
      </c>
    </row>
    <row r="81" spans="1:5" x14ac:dyDescent="0.25">
      <c r="A81" t="s">
        <v>84</v>
      </c>
      <c r="B81">
        <v>80</v>
      </c>
      <c r="C81">
        <v>163.83000000000001</v>
      </c>
      <c r="D81">
        <v>6</v>
      </c>
      <c r="E81" t="s">
        <v>85</v>
      </c>
    </row>
    <row r="82" spans="1:5" x14ac:dyDescent="0.25">
      <c r="A82" t="s">
        <v>84</v>
      </c>
      <c r="B82">
        <v>81</v>
      </c>
      <c r="C82">
        <v>112.7</v>
      </c>
      <c r="D82">
        <v>6</v>
      </c>
      <c r="E82" t="s">
        <v>85</v>
      </c>
    </row>
    <row r="83" spans="1:5" x14ac:dyDescent="0.25">
      <c r="A83" t="s">
        <v>84</v>
      </c>
      <c r="B83">
        <v>82</v>
      </c>
      <c r="C83">
        <v>109.8</v>
      </c>
      <c r="D83">
        <v>6</v>
      </c>
      <c r="E83" t="s">
        <v>85</v>
      </c>
    </row>
    <row r="84" spans="1:5" x14ac:dyDescent="0.25">
      <c r="A84" t="s">
        <v>84</v>
      </c>
      <c r="B84">
        <v>83</v>
      </c>
      <c r="C84">
        <v>109.8</v>
      </c>
      <c r="D84">
        <v>6</v>
      </c>
      <c r="E84" t="s">
        <v>85</v>
      </c>
    </row>
    <row r="85" spans="1:5" x14ac:dyDescent="0.25">
      <c r="A85" t="s">
        <v>84</v>
      </c>
      <c r="B85">
        <v>84</v>
      </c>
      <c r="C85">
        <v>96.79</v>
      </c>
      <c r="D85">
        <v>6</v>
      </c>
      <c r="E85" t="s">
        <v>85</v>
      </c>
    </row>
    <row r="86" spans="1:5" x14ac:dyDescent="0.25">
      <c r="A86" t="s">
        <v>84</v>
      </c>
      <c r="B86">
        <v>85</v>
      </c>
      <c r="C86">
        <v>96.89</v>
      </c>
      <c r="D86">
        <v>6</v>
      </c>
      <c r="E86" t="s">
        <v>85</v>
      </c>
    </row>
    <row r="87" spans="1:5" x14ac:dyDescent="0.25">
      <c r="A87" t="s">
        <v>84</v>
      </c>
      <c r="B87">
        <v>86</v>
      </c>
      <c r="C87">
        <v>88.28</v>
      </c>
      <c r="D87">
        <v>6</v>
      </c>
      <c r="E87" t="s">
        <v>85</v>
      </c>
    </row>
    <row r="88" spans="1:5" x14ac:dyDescent="0.25">
      <c r="A88" t="s">
        <v>84</v>
      </c>
      <c r="B88">
        <v>87</v>
      </c>
      <c r="C88">
        <v>84.3</v>
      </c>
      <c r="D88">
        <v>6</v>
      </c>
      <c r="E88" t="s">
        <v>85</v>
      </c>
    </row>
    <row r="89" spans="1:5" x14ac:dyDescent="0.25">
      <c r="A89" t="s">
        <v>84</v>
      </c>
      <c r="B89">
        <v>88</v>
      </c>
      <c r="C89">
        <v>78.58</v>
      </c>
      <c r="D89">
        <v>6</v>
      </c>
      <c r="E89" t="s">
        <v>85</v>
      </c>
    </row>
    <row r="90" spans="1:5" x14ac:dyDescent="0.25">
      <c r="A90" t="s">
        <v>84</v>
      </c>
      <c r="B90">
        <v>89</v>
      </c>
      <c r="C90">
        <v>88.34</v>
      </c>
      <c r="D90">
        <v>6</v>
      </c>
      <c r="E90" t="s">
        <v>85</v>
      </c>
    </row>
    <row r="91" spans="1:5" x14ac:dyDescent="0.25">
      <c r="A91" t="s">
        <v>84</v>
      </c>
      <c r="B91">
        <v>90</v>
      </c>
      <c r="C91">
        <v>92</v>
      </c>
      <c r="D91">
        <v>6</v>
      </c>
      <c r="E91" t="s">
        <v>85</v>
      </c>
    </row>
    <row r="92" spans="1:5" x14ac:dyDescent="0.25">
      <c r="A92" t="s">
        <v>84</v>
      </c>
      <c r="B92">
        <v>91</v>
      </c>
      <c r="C92">
        <v>82.62</v>
      </c>
      <c r="D92">
        <v>6</v>
      </c>
      <c r="E92" t="s">
        <v>85</v>
      </c>
    </row>
    <row r="93" spans="1:5" x14ac:dyDescent="0.25">
      <c r="A93" t="s">
        <v>84</v>
      </c>
      <c r="B93">
        <v>92</v>
      </c>
      <c r="C93">
        <v>76.53</v>
      </c>
      <c r="D93">
        <v>6</v>
      </c>
      <c r="E93" t="s">
        <v>85</v>
      </c>
    </row>
    <row r="94" spans="1:5" x14ac:dyDescent="0.25">
      <c r="A94" t="s">
        <v>84</v>
      </c>
      <c r="B94">
        <v>93</v>
      </c>
      <c r="C94">
        <v>88.36</v>
      </c>
      <c r="D94">
        <v>6</v>
      </c>
      <c r="E94" t="s">
        <v>85</v>
      </c>
    </row>
    <row r="95" spans="1:5" x14ac:dyDescent="0.25">
      <c r="A95" t="s">
        <v>84</v>
      </c>
      <c r="B95">
        <v>94</v>
      </c>
      <c r="C95">
        <v>87.44</v>
      </c>
      <c r="D95">
        <v>6</v>
      </c>
      <c r="E95" t="s">
        <v>85</v>
      </c>
    </row>
    <row r="96" spans="1:5" x14ac:dyDescent="0.25">
      <c r="A96" t="s">
        <v>84</v>
      </c>
      <c r="B96">
        <v>95</v>
      </c>
      <c r="C96">
        <v>76.48</v>
      </c>
      <c r="D96">
        <v>6</v>
      </c>
      <c r="E96" t="s">
        <v>85</v>
      </c>
    </row>
    <row r="97" spans="1:5" x14ac:dyDescent="0.25">
      <c r="A97" t="s">
        <v>84</v>
      </c>
      <c r="B97">
        <v>96</v>
      </c>
      <c r="C97">
        <v>73.069999999999894</v>
      </c>
      <c r="D97">
        <v>6</v>
      </c>
      <c r="E97" t="s">
        <v>85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7"/>
  <dimension ref="A1:E97"/>
  <sheetViews>
    <sheetView workbookViewId="0">
      <selection activeCell="H8" sqref="H7:H8"/>
    </sheetView>
  </sheetViews>
  <sheetFormatPr defaultRowHeight="15" x14ac:dyDescent="0.25"/>
  <sheetData>
    <row r="1" spans="1:5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</row>
    <row r="2" spans="1:5" x14ac:dyDescent="0.25">
      <c r="A2" t="s">
        <v>84</v>
      </c>
      <c r="B2">
        <v>1</v>
      </c>
      <c r="C2">
        <v>108.74</v>
      </c>
      <c r="D2">
        <v>12</v>
      </c>
      <c r="E2" t="s">
        <v>85</v>
      </c>
    </row>
    <row r="3" spans="1:5" x14ac:dyDescent="0.25">
      <c r="A3" t="s">
        <v>84</v>
      </c>
      <c r="B3">
        <v>2</v>
      </c>
      <c r="C3">
        <v>108.74</v>
      </c>
      <c r="D3">
        <v>12</v>
      </c>
      <c r="E3" t="s">
        <v>85</v>
      </c>
    </row>
    <row r="4" spans="1:5" x14ac:dyDescent="0.25">
      <c r="A4" t="s">
        <v>84</v>
      </c>
      <c r="B4">
        <v>3</v>
      </c>
      <c r="C4">
        <v>93.79</v>
      </c>
      <c r="D4">
        <v>12</v>
      </c>
      <c r="E4" t="s">
        <v>85</v>
      </c>
    </row>
    <row r="5" spans="1:5" x14ac:dyDescent="0.25">
      <c r="A5" t="s">
        <v>84</v>
      </c>
      <c r="B5">
        <v>4</v>
      </c>
      <c r="C5">
        <v>78.739999999999895</v>
      </c>
      <c r="D5">
        <v>12</v>
      </c>
      <c r="E5" t="s">
        <v>85</v>
      </c>
    </row>
    <row r="6" spans="1:5" x14ac:dyDescent="0.25">
      <c r="A6" t="s">
        <v>84</v>
      </c>
      <c r="B6">
        <v>5</v>
      </c>
      <c r="C6">
        <v>81.48</v>
      </c>
      <c r="D6">
        <v>12</v>
      </c>
      <c r="E6" t="s">
        <v>85</v>
      </c>
    </row>
    <row r="7" spans="1:5" x14ac:dyDescent="0.25">
      <c r="A7" t="s">
        <v>84</v>
      </c>
      <c r="B7">
        <v>6</v>
      </c>
      <c r="C7">
        <v>81.069999999998998</v>
      </c>
      <c r="D7">
        <v>12</v>
      </c>
      <c r="E7" t="s">
        <v>85</v>
      </c>
    </row>
    <row r="8" spans="1:5" x14ac:dyDescent="0.25">
      <c r="A8" t="s">
        <v>84</v>
      </c>
      <c r="B8">
        <v>7</v>
      </c>
      <c r="C8">
        <v>74.34</v>
      </c>
      <c r="D8">
        <v>12</v>
      </c>
      <c r="E8" t="s">
        <v>85</v>
      </c>
    </row>
    <row r="9" spans="1:5" x14ac:dyDescent="0.25">
      <c r="A9" t="s">
        <v>84</v>
      </c>
      <c r="B9">
        <v>8</v>
      </c>
      <c r="C9">
        <v>81.48</v>
      </c>
      <c r="D9">
        <v>12</v>
      </c>
      <c r="E9" t="s">
        <v>85</v>
      </c>
    </row>
    <row r="10" spans="1:5" x14ac:dyDescent="0.25">
      <c r="A10" t="s">
        <v>84</v>
      </c>
      <c r="B10">
        <v>9</v>
      </c>
      <c r="C10">
        <v>84.72</v>
      </c>
      <c r="D10">
        <v>12</v>
      </c>
      <c r="E10" t="s">
        <v>85</v>
      </c>
    </row>
    <row r="11" spans="1:5" x14ac:dyDescent="0.25">
      <c r="A11" t="s">
        <v>84</v>
      </c>
      <c r="B11">
        <v>10</v>
      </c>
      <c r="C11">
        <v>84.72</v>
      </c>
      <c r="D11">
        <v>12</v>
      </c>
      <c r="E11" t="s">
        <v>85</v>
      </c>
    </row>
    <row r="12" spans="1:5" x14ac:dyDescent="0.25">
      <c r="A12" t="s">
        <v>84</v>
      </c>
      <c r="B12">
        <v>11</v>
      </c>
      <c r="C12">
        <v>84.72</v>
      </c>
      <c r="D12">
        <v>12</v>
      </c>
      <c r="E12" t="s">
        <v>85</v>
      </c>
    </row>
    <row r="13" spans="1:5" x14ac:dyDescent="0.25">
      <c r="A13" t="s">
        <v>84</v>
      </c>
      <c r="B13">
        <v>12</v>
      </c>
      <c r="C13">
        <v>84.72</v>
      </c>
      <c r="D13">
        <v>12</v>
      </c>
      <c r="E13" t="s">
        <v>85</v>
      </c>
    </row>
    <row r="14" spans="1:5" x14ac:dyDescent="0.25">
      <c r="A14" t="s">
        <v>84</v>
      </c>
      <c r="B14">
        <v>13</v>
      </c>
      <c r="C14">
        <v>88.47</v>
      </c>
      <c r="D14">
        <v>12</v>
      </c>
      <c r="E14" t="s">
        <v>85</v>
      </c>
    </row>
    <row r="15" spans="1:5" x14ac:dyDescent="0.25">
      <c r="A15" t="s">
        <v>84</v>
      </c>
      <c r="B15">
        <v>14</v>
      </c>
      <c r="C15">
        <v>88.47</v>
      </c>
      <c r="D15">
        <v>12</v>
      </c>
      <c r="E15" t="s">
        <v>85</v>
      </c>
    </row>
    <row r="16" spans="1:5" x14ac:dyDescent="0.25">
      <c r="A16" t="s">
        <v>84</v>
      </c>
      <c r="B16">
        <v>15</v>
      </c>
      <c r="C16">
        <v>88.47</v>
      </c>
      <c r="D16">
        <v>12</v>
      </c>
      <c r="E16" t="s">
        <v>85</v>
      </c>
    </row>
    <row r="17" spans="1:5" x14ac:dyDescent="0.25">
      <c r="A17" t="s">
        <v>84</v>
      </c>
      <c r="B17">
        <v>16</v>
      </c>
      <c r="C17">
        <v>88.47</v>
      </c>
      <c r="D17">
        <v>12</v>
      </c>
      <c r="E17" t="s">
        <v>85</v>
      </c>
    </row>
    <row r="18" spans="1:5" x14ac:dyDescent="0.25">
      <c r="A18" t="s">
        <v>84</v>
      </c>
      <c r="B18">
        <v>17</v>
      </c>
      <c r="C18">
        <v>88.459999999998999</v>
      </c>
      <c r="D18">
        <v>12</v>
      </c>
      <c r="E18" t="s">
        <v>85</v>
      </c>
    </row>
    <row r="19" spans="1:5" x14ac:dyDescent="0.25">
      <c r="A19" t="s">
        <v>84</v>
      </c>
      <c r="B19">
        <v>18</v>
      </c>
      <c r="C19">
        <v>88.459999999998999</v>
      </c>
      <c r="D19">
        <v>12</v>
      </c>
      <c r="E19" t="s">
        <v>85</v>
      </c>
    </row>
    <row r="20" spans="1:5" x14ac:dyDescent="0.25">
      <c r="A20" t="s">
        <v>84</v>
      </c>
      <c r="B20">
        <v>19</v>
      </c>
      <c r="C20">
        <v>88.459999999998999</v>
      </c>
      <c r="D20">
        <v>12</v>
      </c>
      <c r="E20" t="s">
        <v>85</v>
      </c>
    </row>
    <row r="21" spans="1:5" x14ac:dyDescent="0.25">
      <c r="A21" t="s">
        <v>84</v>
      </c>
      <c r="B21">
        <v>20</v>
      </c>
      <c r="C21">
        <v>88.459999999998999</v>
      </c>
      <c r="D21">
        <v>12</v>
      </c>
      <c r="E21" t="s">
        <v>85</v>
      </c>
    </row>
    <row r="22" spans="1:5" x14ac:dyDescent="0.25">
      <c r="A22" t="s">
        <v>84</v>
      </c>
      <c r="B22">
        <v>21</v>
      </c>
      <c r="C22">
        <v>69.48</v>
      </c>
      <c r="D22">
        <v>12</v>
      </c>
      <c r="E22" t="s">
        <v>85</v>
      </c>
    </row>
    <row r="23" spans="1:5" x14ac:dyDescent="0.25">
      <c r="A23" t="s">
        <v>84</v>
      </c>
      <c r="B23">
        <v>22</v>
      </c>
      <c r="C23">
        <v>69.48</v>
      </c>
      <c r="D23">
        <v>12</v>
      </c>
      <c r="E23" t="s">
        <v>85</v>
      </c>
    </row>
    <row r="24" spans="1:5" x14ac:dyDescent="0.25">
      <c r="A24" t="s">
        <v>84</v>
      </c>
      <c r="B24">
        <v>23</v>
      </c>
      <c r="C24">
        <v>76.08</v>
      </c>
      <c r="D24">
        <v>12</v>
      </c>
      <c r="E24" t="s">
        <v>85</v>
      </c>
    </row>
    <row r="25" spans="1:5" x14ac:dyDescent="0.25">
      <c r="A25" t="s">
        <v>84</v>
      </c>
      <c r="B25">
        <v>24</v>
      </c>
      <c r="C25">
        <v>88</v>
      </c>
      <c r="D25">
        <v>12</v>
      </c>
      <c r="E25" t="s">
        <v>85</v>
      </c>
    </row>
    <row r="26" spans="1:5" x14ac:dyDescent="0.25">
      <c r="A26" t="s">
        <v>84</v>
      </c>
      <c r="B26">
        <v>25</v>
      </c>
      <c r="C26">
        <v>69.3</v>
      </c>
      <c r="D26">
        <v>12</v>
      </c>
      <c r="E26" t="s">
        <v>85</v>
      </c>
    </row>
    <row r="27" spans="1:5" x14ac:dyDescent="0.25">
      <c r="A27" t="s">
        <v>84</v>
      </c>
      <c r="B27">
        <v>26</v>
      </c>
      <c r="C27">
        <v>92.3</v>
      </c>
      <c r="D27">
        <v>12</v>
      </c>
      <c r="E27" t="s">
        <v>85</v>
      </c>
    </row>
    <row r="28" spans="1:5" x14ac:dyDescent="0.25">
      <c r="A28" t="s">
        <v>84</v>
      </c>
      <c r="B28">
        <v>27</v>
      </c>
      <c r="C28">
        <v>107</v>
      </c>
      <c r="D28">
        <v>12</v>
      </c>
      <c r="E28" t="s">
        <v>85</v>
      </c>
    </row>
    <row r="29" spans="1:5" x14ac:dyDescent="0.25">
      <c r="A29" t="s">
        <v>84</v>
      </c>
      <c r="B29">
        <v>28</v>
      </c>
      <c r="C29">
        <v>108.28</v>
      </c>
      <c r="D29">
        <v>12</v>
      </c>
      <c r="E29" t="s">
        <v>85</v>
      </c>
    </row>
    <row r="30" spans="1:5" x14ac:dyDescent="0.25">
      <c r="A30" t="s">
        <v>84</v>
      </c>
      <c r="B30">
        <v>29</v>
      </c>
      <c r="C30">
        <v>102.02</v>
      </c>
      <c r="D30">
        <v>12</v>
      </c>
      <c r="E30" t="s">
        <v>85</v>
      </c>
    </row>
    <row r="31" spans="1:5" x14ac:dyDescent="0.25">
      <c r="A31" t="s">
        <v>84</v>
      </c>
      <c r="B31">
        <v>30</v>
      </c>
      <c r="C31">
        <v>103.22</v>
      </c>
      <c r="D31">
        <v>12</v>
      </c>
      <c r="E31" t="s">
        <v>85</v>
      </c>
    </row>
    <row r="32" spans="1:5" x14ac:dyDescent="0.25">
      <c r="A32" t="s">
        <v>84</v>
      </c>
      <c r="B32">
        <v>31</v>
      </c>
      <c r="C32">
        <v>107.02</v>
      </c>
      <c r="D32">
        <v>12</v>
      </c>
      <c r="E32" t="s">
        <v>85</v>
      </c>
    </row>
    <row r="33" spans="1:5" x14ac:dyDescent="0.25">
      <c r="A33" t="s">
        <v>84</v>
      </c>
      <c r="B33">
        <v>32</v>
      </c>
      <c r="C33">
        <v>113.19</v>
      </c>
      <c r="D33">
        <v>12</v>
      </c>
      <c r="E33" t="s">
        <v>85</v>
      </c>
    </row>
    <row r="34" spans="1:5" x14ac:dyDescent="0.25">
      <c r="A34" t="s">
        <v>84</v>
      </c>
      <c r="B34">
        <v>33</v>
      </c>
      <c r="C34">
        <v>125</v>
      </c>
      <c r="D34">
        <v>12</v>
      </c>
      <c r="E34" t="s">
        <v>85</v>
      </c>
    </row>
    <row r="35" spans="1:5" x14ac:dyDescent="0.25">
      <c r="A35" t="s">
        <v>84</v>
      </c>
      <c r="B35">
        <v>34</v>
      </c>
      <c r="C35">
        <v>125</v>
      </c>
      <c r="D35">
        <v>12</v>
      </c>
      <c r="E35" t="s">
        <v>85</v>
      </c>
    </row>
    <row r="36" spans="1:5" x14ac:dyDescent="0.25">
      <c r="A36" t="s">
        <v>84</v>
      </c>
      <c r="B36">
        <v>35</v>
      </c>
      <c r="C36">
        <v>125</v>
      </c>
      <c r="D36">
        <v>12</v>
      </c>
      <c r="E36" t="s">
        <v>85</v>
      </c>
    </row>
    <row r="37" spans="1:5" x14ac:dyDescent="0.25">
      <c r="A37" t="s">
        <v>84</v>
      </c>
      <c r="B37">
        <v>36</v>
      </c>
      <c r="C37">
        <v>113.21</v>
      </c>
      <c r="D37">
        <v>12</v>
      </c>
      <c r="E37" t="s">
        <v>85</v>
      </c>
    </row>
    <row r="38" spans="1:5" x14ac:dyDescent="0.25">
      <c r="A38" t="s">
        <v>84</v>
      </c>
      <c r="B38">
        <v>37</v>
      </c>
      <c r="C38">
        <v>102.489999999999</v>
      </c>
      <c r="D38">
        <v>12</v>
      </c>
      <c r="E38" t="s">
        <v>85</v>
      </c>
    </row>
    <row r="39" spans="1:5" x14ac:dyDescent="0.25">
      <c r="A39" t="s">
        <v>84</v>
      </c>
      <c r="B39">
        <v>38</v>
      </c>
      <c r="C39">
        <v>102.489999999999</v>
      </c>
      <c r="D39">
        <v>12</v>
      </c>
      <c r="E39" t="s">
        <v>85</v>
      </c>
    </row>
    <row r="40" spans="1:5" x14ac:dyDescent="0.25">
      <c r="A40" t="s">
        <v>84</v>
      </c>
      <c r="B40">
        <v>39</v>
      </c>
      <c r="C40">
        <v>94</v>
      </c>
      <c r="D40">
        <v>12</v>
      </c>
      <c r="E40" t="s">
        <v>85</v>
      </c>
    </row>
    <row r="41" spans="1:5" x14ac:dyDescent="0.25">
      <c r="A41" t="s">
        <v>84</v>
      </c>
      <c r="B41">
        <v>40</v>
      </c>
      <c r="C41">
        <v>82.489999999999</v>
      </c>
      <c r="D41">
        <v>12</v>
      </c>
      <c r="E41" t="s">
        <v>85</v>
      </c>
    </row>
    <row r="42" spans="1:5" x14ac:dyDescent="0.25">
      <c r="A42" t="s">
        <v>84</v>
      </c>
      <c r="B42">
        <v>41</v>
      </c>
      <c r="C42">
        <v>105</v>
      </c>
      <c r="D42">
        <v>12</v>
      </c>
      <c r="E42" t="s">
        <v>85</v>
      </c>
    </row>
    <row r="43" spans="1:5" x14ac:dyDescent="0.25">
      <c r="A43" t="s">
        <v>84</v>
      </c>
      <c r="B43">
        <v>42</v>
      </c>
      <c r="C43">
        <v>100.09</v>
      </c>
      <c r="D43">
        <v>12</v>
      </c>
      <c r="E43" t="s">
        <v>85</v>
      </c>
    </row>
    <row r="44" spans="1:5" x14ac:dyDescent="0.25">
      <c r="A44" t="s">
        <v>84</v>
      </c>
      <c r="B44">
        <v>43</v>
      </c>
      <c r="C44">
        <v>86</v>
      </c>
      <c r="D44">
        <v>12</v>
      </c>
      <c r="E44" t="s">
        <v>85</v>
      </c>
    </row>
    <row r="45" spans="1:5" x14ac:dyDescent="0.25">
      <c r="A45" t="s">
        <v>84</v>
      </c>
      <c r="B45">
        <v>44</v>
      </c>
      <c r="C45">
        <v>79.930000000000007</v>
      </c>
      <c r="D45">
        <v>12</v>
      </c>
      <c r="E45" t="s">
        <v>85</v>
      </c>
    </row>
    <row r="46" spans="1:5" x14ac:dyDescent="0.25">
      <c r="A46" t="s">
        <v>84</v>
      </c>
      <c r="B46">
        <v>45</v>
      </c>
      <c r="C46">
        <v>93.5</v>
      </c>
      <c r="D46">
        <v>12</v>
      </c>
      <c r="E46" t="s">
        <v>85</v>
      </c>
    </row>
    <row r="47" spans="1:5" x14ac:dyDescent="0.25">
      <c r="A47" t="s">
        <v>84</v>
      </c>
      <c r="B47">
        <v>46</v>
      </c>
      <c r="C47">
        <v>88.88</v>
      </c>
      <c r="D47">
        <v>12</v>
      </c>
      <c r="E47" t="s">
        <v>85</v>
      </c>
    </row>
    <row r="48" spans="1:5" x14ac:dyDescent="0.25">
      <c r="A48" t="s">
        <v>84</v>
      </c>
      <c r="B48">
        <v>47</v>
      </c>
      <c r="C48">
        <v>73</v>
      </c>
      <c r="D48">
        <v>12</v>
      </c>
      <c r="E48" t="s">
        <v>85</v>
      </c>
    </row>
    <row r="49" spans="1:5" x14ac:dyDescent="0.25">
      <c r="A49" t="s">
        <v>84</v>
      </c>
      <c r="B49">
        <v>48</v>
      </c>
      <c r="C49">
        <v>69</v>
      </c>
      <c r="D49">
        <v>12</v>
      </c>
      <c r="E49" t="s">
        <v>85</v>
      </c>
    </row>
    <row r="50" spans="1:5" x14ac:dyDescent="0.25">
      <c r="A50" t="s">
        <v>84</v>
      </c>
      <c r="B50">
        <v>49</v>
      </c>
      <c r="C50">
        <v>85</v>
      </c>
      <c r="D50">
        <v>12</v>
      </c>
      <c r="E50" t="s">
        <v>85</v>
      </c>
    </row>
    <row r="51" spans="1:5" x14ac:dyDescent="0.25">
      <c r="A51" t="s">
        <v>84</v>
      </c>
      <c r="B51">
        <v>50</v>
      </c>
      <c r="C51">
        <v>70</v>
      </c>
      <c r="D51">
        <v>12</v>
      </c>
      <c r="E51" t="s">
        <v>85</v>
      </c>
    </row>
    <row r="52" spans="1:5" x14ac:dyDescent="0.25">
      <c r="A52" t="s">
        <v>84</v>
      </c>
      <c r="B52">
        <v>51</v>
      </c>
      <c r="C52">
        <v>69.27</v>
      </c>
      <c r="D52">
        <v>12</v>
      </c>
      <c r="E52" t="s">
        <v>85</v>
      </c>
    </row>
    <row r="53" spans="1:5" x14ac:dyDescent="0.25">
      <c r="A53" t="s">
        <v>84</v>
      </c>
      <c r="B53">
        <v>52</v>
      </c>
      <c r="C53">
        <v>69.27</v>
      </c>
      <c r="D53">
        <v>12</v>
      </c>
      <c r="E53" t="s">
        <v>85</v>
      </c>
    </row>
    <row r="54" spans="1:5" x14ac:dyDescent="0.25">
      <c r="A54" t="s">
        <v>84</v>
      </c>
      <c r="B54">
        <v>53</v>
      </c>
      <c r="C54">
        <v>66.12</v>
      </c>
      <c r="D54">
        <v>12</v>
      </c>
      <c r="E54" t="s">
        <v>85</v>
      </c>
    </row>
    <row r="55" spans="1:5" x14ac:dyDescent="0.25">
      <c r="A55" t="s">
        <v>84</v>
      </c>
      <c r="B55">
        <v>54</v>
      </c>
      <c r="C55">
        <v>67.16</v>
      </c>
      <c r="D55">
        <v>12</v>
      </c>
      <c r="E55" t="s">
        <v>85</v>
      </c>
    </row>
    <row r="56" spans="1:5" x14ac:dyDescent="0.25">
      <c r="A56" t="s">
        <v>84</v>
      </c>
      <c r="B56">
        <v>55</v>
      </c>
      <c r="C56">
        <v>69.45</v>
      </c>
      <c r="D56">
        <v>12</v>
      </c>
      <c r="E56" t="s">
        <v>85</v>
      </c>
    </row>
    <row r="57" spans="1:5" x14ac:dyDescent="0.25">
      <c r="A57" t="s">
        <v>84</v>
      </c>
      <c r="B57">
        <v>56</v>
      </c>
      <c r="C57">
        <v>69.45</v>
      </c>
      <c r="D57">
        <v>12</v>
      </c>
      <c r="E57" t="s">
        <v>85</v>
      </c>
    </row>
    <row r="58" spans="1:5" x14ac:dyDescent="0.25">
      <c r="A58" t="s">
        <v>84</v>
      </c>
      <c r="B58">
        <v>57</v>
      </c>
      <c r="C58">
        <v>69.64</v>
      </c>
      <c r="D58">
        <v>12</v>
      </c>
      <c r="E58" t="s">
        <v>85</v>
      </c>
    </row>
    <row r="59" spans="1:5" x14ac:dyDescent="0.25">
      <c r="A59" t="s">
        <v>84</v>
      </c>
      <c r="B59">
        <v>58</v>
      </c>
      <c r="C59">
        <v>70.91</v>
      </c>
      <c r="D59">
        <v>12</v>
      </c>
      <c r="E59" t="s">
        <v>85</v>
      </c>
    </row>
    <row r="60" spans="1:5" x14ac:dyDescent="0.25">
      <c r="A60" t="s">
        <v>84</v>
      </c>
      <c r="B60">
        <v>59</v>
      </c>
      <c r="C60">
        <v>72.36</v>
      </c>
      <c r="D60">
        <v>12</v>
      </c>
      <c r="E60" t="s">
        <v>85</v>
      </c>
    </row>
    <row r="61" spans="1:5" x14ac:dyDescent="0.25">
      <c r="A61" t="s">
        <v>84</v>
      </c>
      <c r="B61">
        <v>60</v>
      </c>
      <c r="C61">
        <v>77.36</v>
      </c>
      <c r="D61">
        <v>12</v>
      </c>
      <c r="E61" t="s">
        <v>85</v>
      </c>
    </row>
    <row r="62" spans="1:5" x14ac:dyDescent="0.25">
      <c r="A62" t="s">
        <v>84</v>
      </c>
      <c r="B62">
        <v>61</v>
      </c>
      <c r="C62">
        <v>65.97</v>
      </c>
      <c r="D62">
        <v>12</v>
      </c>
      <c r="E62" t="s">
        <v>85</v>
      </c>
    </row>
    <row r="63" spans="1:5" x14ac:dyDescent="0.25">
      <c r="A63" t="s">
        <v>84</v>
      </c>
      <c r="B63">
        <v>62</v>
      </c>
      <c r="C63">
        <v>67.16</v>
      </c>
      <c r="D63">
        <v>12</v>
      </c>
      <c r="E63" t="s">
        <v>85</v>
      </c>
    </row>
    <row r="64" spans="1:5" x14ac:dyDescent="0.25">
      <c r="A64" t="s">
        <v>84</v>
      </c>
      <c r="B64">
        <v>63</v>
      </c>
      <c r="C64">
        <v>69.7</v>
      </c>
      <c r="D64">
        <v>12</v>
      </c>
      <c r="E64" t="s">
        <v>85</v>
      </c>
    </row>
    <row r="65" spans="1:5" x14ac:dyDescent="0.25">
      <c r="A65" t="s">
        <v>84</v>
      </c>
      <c r="B65">
        <v>64</v>
      </c>
      <c r="C65">
        <v>71.7</v>
      </c>
      <c r="D65">
        <v>12</v>
      </c>
      <c r="E65" t="s">
        <v>85</v>
      </c>
    </row>
    <row r="66" spans="1:5" x14ac:dyDescent="0.25">
      <c r="A66" t="s">
        <v>84</v>
      </c>
      <c r="B66">
        <v>65</v>
      </c>
      <c r="C66">
        <v>69.650000000000006</v>
      </c>
      <c r="D66">
        <v>12</v>
      </c>
      <c r="E66" t="s">
        <v>85</v>
      </c>
    </row>
    <row r="67" spans="1:5" x14ac:dyDescent="0.25">
      <c r="A67" t="s">
        <v>84</v>
      </c>
      <c r="B67">
        <v>66</v>
      </c>
      <c r="C67">
        <v>73.989999999999895</v>
      </c>
      <c r="D67">
        <v>12</v>
      </c>
      <c r="E67" t="s">
        <v>85</v>
      </c>
    </row>
    <row r="68" spans="1:5" x14ac:dyDescent="0.25">
      <c r="A68" t="s">
        <v>84</v>
      </c>
      <c r="B68">
        <v>67</v>
      </c>
      <c r="C68">
        <v>89.54</v>
      </c>
      <c r="D68">
        <v>12</v>
      </c>
      <c r="E68" t="s">
        <v>85</v>
      </c>
    </row>
    <row r="69" spans="1:5" x14ac:dyDescent="0.25">
      <c r="A69" t="s">
        <v>84</v>
      </c>
      <c r="B69">
        <v>68</v>
      </c>
      <c r="C69">
        <v>90.04</v>
      </c>
      <c r="D69">
        <v>12</v>
      </c>
      <c r="E69" t="s">
        <v>85</v>
      </c>
    </row>
    <row r="70" spans="1:5" x14ac:dyDescent="0.25">
      <c r="A70" t="s">
        <v>84</v>
      </c>
      <c r="B70">
        <v>69</v>
      </c>
      <c r="C70">
        <v>70</v>
      </c>
      <c r="D70">
        <v>12</v>
      </c>
      <c r="E70" t="s">
        <v>85</v>
      </c>
    </row>
    <row r="71" spans="1:5" x14ac:dyDescent="0.25">
      <c r="A71" t="s">
        <v>84</v>
      </c>
      <c r="B71">
        <v>70</v>
      </c>
      <c r="C71">
        <v>75</v>
      </c>
      <c r="D71">
        <v>12</v>
      </c>
      <c r="E71" t="s">
        <v>85</v>
      </c>
    </row>
    <row r="72" spans="1:5" x14ac:dyDescent="0.25">
      <c r="A72" t="s">
        <v>84</v>
      </c>
      <c r="B72">
        <v>71</v>
      </c>
      <c r="C72">
        <v>85</v>
      </c>
      <c r="D72">
        <v>12</v>
      </c>
      <c r="E72" t="s">
        <v>85</v>
      </c>
    </row>
    <row r="73" spans="1:5" x14ac:dyDescent="0.25">
      <c r="A73" t="s">
        <v>84</v>
      </c>
      <c r="B73">
        <v>72</v>
      </c>
      <c r="C73">
        <v>94.92</v>
      </c>
      <c r="D73">
        <v>12</v>
      </c>
      <c r="E73" t="s">
        <v>85</v>
      </c>
    </row>
    <row r="74" spans="1:5" x14ac:dyDescent="0.25">
      <c r="A74" t="s">
        <v>84</v>
      </c>
      <c r="B74">
        <v>73</v>
      </c>
      <c r="C74">
        <v>84.03</v>
      </c>
      <c r="D74">
        <v>12</v>
      </c>
      <c r="E74" t="s">
        <v>85</v>
      </c>
    </row>
    <row r="75" spans="1:5" x14ac:dyDescent="0.25">
      <c r="A75" t="s">
        <v>84</v>
      </c>
      <c r="B75">
        <v>74</v>
      </c>
      <c r="C75">
        <v>89</v>
      </c>
      <c r="D75">
        <v>12</v>
      </c>
      <c r="E75" t="s">
        <v>85</v>
      </c>
    </row>
    <row r="76" spans="1:5" x14ac:dyDescent="0.25">
      <c r="A76" t="s">
        <v>84</v>
      </c>
      <c r="B76">
        <v>75</v>
      </c>
      <c r="C76">
        <v>104</v>
      </c>
      <c r="D76">
        <v>12</v>
      </c>
      <c r="E76" t="s">
        <v>85</v>
      </c>
    </row>
    <row r="77" spans="1:5" x14ac:dyDescent="0.25">
      <c r="A77" t="s">
        <v>84</v>
      </c>
      <c r="B77">
        <v>76</v>
      </c>
      <c r="C77">
        <v>104</v>
      </c>
      <c r="D77">
        <v>12</v>
      </c>
      <c r="E77" t="s">
        <v>85</v>
      </c>
    </row>
    <row r="78" spans="1:5" x14ac:dyDescent="0.25">
      <c r="A78" t="s">
        <v>84</v>
      </c>
      <c r="B78">
        <v>77</v>
      </c>
      <c r="C78">
        <v>113.49</v>
      </c>
      <c r="D78">
        <v>12</v>
      </c>
      <c r="E78" t="s">
        <v>85</v>
      </c>
    </row>
    <row r="79" spans="1:5" x14ac:dyDescent="0.25">
      <c r="A79" t="s">
        <v>84</v>
      </c>
      <c r="B79">
        <v>78</v>
      </c>
      <c r="C79">
        <v>135.83000000000001</v>
      </c>
      <c r="D79">
        <v>12</v>
      </c>
      <c r="E79" t="s">
        <v>85</v>
      </c>
    </row>
    <row r="80" spans="1:5" x14ac:dyDescent="0.25">
      <c r="A80" t="s">
        <v>84</v>
      </c>
      <c r="B80">
        <v>79</v>
      </c>
      <c r="C80">
        <v>150.94</v>
      </c>
      <c r="D80">
        <v>12</v>
      </c>
      <c r="E80" t="s">
        <v>85</v>
      </c>
    </row>
    <row r="81" spans="1:5" x14ac:dyDescent="0.25">
      <c r="A81" t="s">
        <v>84</v>
      </c>
      <c r="B81">
        <v>80</v>
      </c>
      <c r="C81">
        <v>155.83000000000001</v>
      </c>
      <c r="D81">
        <v>12</v>
      </c>
      <c r="E81" t="s">
        <v>85</v>
      </c>
    </row>
    <row r="82" spans="1:5" x14ac:dyDescent="0.25">
      <c r="A82" t="s">
        <v>84</v>
      </c>
      <c r="B82">
        <v>81</v>
      </c>
      <c r="C82">
        <v>104.7</v>
      </c>
      <c r="D82">
        <v>12</v>
      </c>
      <c r="E82" t="s">
        <v>85</v>
      </c>
    </row>
    <row r="83" spans="1:5" x14ac:dyDescent="0.25">
      <c r="A83" t="s">
        <v>84</v>
      </c>
      <c r="B83">
        <v>82</v>
      </c>
      <c r="C83">
        <v>101.8</v>
      </c>
      <c r="D83">
        <v>12</v>
      </c>
      <c r="E83" t="s">
        <v>85</v>
      </c>
    </row>
    <row r="84" spans="1:5" x14ac:dyDescent="0.25">
      <c r="A84" t="s">
        <v>84</v>
      </c>
      <c r="B84">
        <v>83</v>
      </c>
      <c r="C84">
        <v>101.8</v>
      </c>
      <c r="D84">
        <v>12</v>
      </c>
      <c r="E84" t="s">
        <v>85</v>
      </c>
    </row>
    <row r="85" spans="1:5" x14ac:dyDescent="0.25">
      <c r="A85" t="s">
        <v>84</v>
      </c>
      <c r="B85">
        <v>84</v>
      </c>
      <c r="C85">
        <v>88.79</v>
      </c>
      <c r="D85">
        <v>12</v>
      </c>
      <c r="E85" t="s">
        <v>85</v>
      </c>
    </row>
    <row r="86" spans="1:5" x14ac:dyDescent="0.25">
      <c r="A86" t="s">
        <v>84</v>
      </c>
      <c r="B86">
        <v>85</v>
      </c>
      <c r="C86">
        <v>88.89</v>
      </c>
      <c r="D86">
        <v>12</v>
      </c>
      <c r="E86" t="s">
        <v>85</v>
      </c>
    </row>
    <row r="87" spans="1:5" x14ac:dyDescent="0.25">
      <c r="A87" t="s">
        <v>84</v>
      </c>
      <c r="B87">
        <v>86</v>
      </c>
      <c r="C87">
        <v>80.28</v>
      </c>
      <c r="D87">
        <v>12</v>
      </c>
      <c r="E87" t="s">
        <v>85</v>
      </c>
    </row>
    <row r="88" spans="1:5" x14ac:dyDescent="0.25">
      <c r="A88" t="s">
        <v>84</v>
      </c>
      <c r="B88">
        <v>87</v>
      </c>
      <c r="C88">
        <v>76.3</v>
      </c>
      <c r="D88">
        <v>12</v>
      </c>
      <c r="E88" t="s">
        <v>85</v>
      </c>
    </row>
    <row r="89" spans="1:5" x14ac:dyDescent="0.25">
      <c r="A89" t="s">
        <v>84</v>
      </c>
      <c r="B89">
        <v>88</v>
      </c>
      <c r="C89">
        <v>70.58</v>
      </c>
      <c r="D89">
        <v>12</v>
      </c>
      <c r="E89" t="s">
        <v>85</v>
      </c>
    </row>
    <row r="90" spans="1:5" x14ac:dyDescent="0.25">
      <c r="A90" t="s">
        <v>84</v>
      </c>
      <c r="B90">
        <v>89</v>
      </c>
      <c r="C90">
        <v>80.34</v>
      </c>
      <c r="D90">
        <v>12</v>
      </c>
      <c r="E90" t="s">
        <v>85</v>
      </c>
    </row>
    <row r="91" spans="1:5" x14ac:dyDescent="0.25">
      <c r="A91" t="s">
        <v>84</v>
      </c>
      <c r="B91">
        <v>90</v>
      </c>
      <c r="C91">
        <v>84</v>
      </c>
      <c r="D91">
        <v>12</v>
      </c>
      <c r="E91" t="s">
        <v>85</v>
      </c>
    </row>
    <row r="92" spans="1:5" x14ac:dyDescent="0.25">
      <c r="A92" t="s">
        <v>84</v>
      </c>
      <c r="B92">
        <v>91</v>
      </c>
      <c r="C92">
        <v>74.62</v>
      </c>
      <c r="D92">
        <v>12</v>
      </c>
      <c r="E92" t="s">
        <v>85</v>
      </c>
    </row>
    <row r="93" spans="1:5" x14ac:dyDescent="0.25">
      <c r="A93" t="s">
        <v>84</v>
      </c>
      <c r="B93">
        <v>92</v>
      </c>
      <c r="C93">
        <v>68.53</v>
      </c>
      <c r="D93">
        <v>12</v>
      </c>
      <c r="E93" t="s">
        <v>85</v>
      </c>
    </row>
    <row r="94" spans="1:5" x14ac:dyDescent="0.25">
      <c r="A94" t="s">
        <v>84</v>
      </c>
      <c r="B94">
        <v>93</v>
      </c>
      <c r="C94">
        <v>80.36</v>
      </c>
      <c r="D94">
        <v>12</v>
      </c>
      <c r="E94" t="s">
        <v>85</v>
      </c>
    </row>
    <row r="95" spans="1:5" x14ac:dyDescent="0.25">
      <c r="A95" t="s">
        <v>84</v>
      </c>
      <c r="B95">
        <v>94</v>
      </c>
      <c r="C95">
        <v>79.44</v>
      </c>
      <c r="D95">
        <v>12</v>
      </c>
      <c r="E95" t="s">
        <v>85</v>
      </c>
    </row>
    <row r="96" spans="1:5" x14ac:dyDescent="0.25">
      <c r="A96" t="s">
        <v>84</v>
      </c>
      <c r="B96">
        <v>95</v>
      </c>
      <c r="C96">
        <v>68.48</v>
      </c>
      <c r="D96">
        <v>12</v>
      </c>
      <c r="E96" t="s">
        <v>85</v>
      </c>
    </row>
    <row r="97" spans="1:5" x14ac:dyDescent="0.25">
      <c r="A97" t="s">
        <v>84</v>
      </c>
      <c r="B97">
        <v>96</v>
      </c>
      <c r="C97">
        <v>65.069999999999894</v>
      </c>
      <c r="D97">
        <v>12</v>
      </c>
      <c r="E97" t="s">
        <v>85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0"/>
  <dimension ref="A1:E97"/>
  <sheetViews>
    <sheetView workbookViewId="0">
      <selection activeCell="C2" sqref="C2:C97"/>
    </sheetView>
  </sheetViews>
  <sheetFormatPr defaultRowHeight="15" x14ac:dyDescent="0.25"/>
  <sheetData>
    <row r="1" spans="1:5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</row>
    <row r="2" spans="1:5" x14ac:dyDescent="0.25">
      <c r="A2" t="s">
        <v>84</v>
      </c>
      <c r="B2">
        <v>1</v>
      </c>
      <c r="C2">
        <v>93.740000000000009</v>
      </c>
      <c r="D2">
        <v>15</v>
      </c>
      <c r="E2" t="s">
        <v>85</v>
      </c>
    </row>
    <row r="3" spans="1:5" x14ac:dyDescent="0.25">
      <c r="A3" t="s">
        <v>84</v>
      </c>
      <c r="B3">
        <v>2</v>
      </c>
      <c r="C3">
        <v>93.740000000000009</v>
      </c>
      <c r="D3">
        <v>15</v>
      </c>
      <c r="E3" t="s">
        <v>85</v>
      </c>
    </row>
    <row r="4" spans="1:5" x14ac:dyDescent="0.25">
      <c r="A4" t="s">
        <v>84</v>
      </c>
      <c r="B4">
        <v>3</v>
      </c>
      <c r="C4">
        <v>78.790000000000006</v>
      </c>
      <c r="D4">
        <v>15</v>
      </c>
      <c r="E4" t="s">
        <v>85</v>
      </c>
    </row>
    <row r="5" spans="1:5" x14ac:dyDescent="0.25">
      <c r="A5" t="s">
        <v>84</v>
      </c>
      <c r="B5">
        <v>4</v>
      </c>
      <c r="C5">
        <v>63.739999999999903</v>
      </c>
      <c r="D5">
        <v>15</v>
      </c>
      <c r="E5" t="s">
        <v>85</v>
      </c>
    </row>
    <row r="6" spans="1:5" x14ac:dyDescent="0.25">
      <c r="A6" t="s">
        <v>84</v>
      </c>
      <c r="B6">
        <v>5</v>
      </c>
      <c r="C6">
        <v>66.48</v>
      </c>
      <c r="D6">
        <v>15</v>
      </c>
      <c r="E6" t="s">
        <v>85</v>
      </c>
    </row>
    <row r="7" spans="1:5" x14ac:dyDescent="0.25">
      <c r="A7" t="s">
        <v>84</v>
      </c>
      <c r="B7">
        <v>6</v>
      </c>
      <c r="C7">
        <v>66.069999999998998</v>
      </c>
      <c r="D7">
        <v>15</v>
      </c>
      <c r="E7" t="s">
        <v>85</v>
      </c>
    </row>
    <row r="8" spans="1:5" x14ac:dyDescent="0.25">
      <c r="A8" t="s">
        <v>84</v>
      </c>
      <c r="B8">
        <v>7</v>
      </c>
      <c r="C8">
        <v>59.34</v>
      </c>
      <c r="D8">
        <v>15</v>
      </c>
      <c r="E8" t="s">
        <v>85</v>
      </c>
    </row>
    <row r="9" spans="1:5" x14ac:dyDescent="0.25">
      <c r="A9" t="s">
        <v>84</v>
      </c>
      <c r="B9">
        <v>8</v>
      </c>
      <c r="C9">
        <v>66.48</v>
      </c>
      <c r="D9">
        <v>15</v>
      </c>
      <c r="E9" t="s">
        <v>85</v>
      </c>
    </row>
    <row r="10" spans="1:5" x14ac:dyDescent="0.25">
      <c r="A10" t="s">
        <v>84</v>
      </c>
      <c r="B10">
        <v>9</v>
      </c>
      <c r="C10">
        <v>69.72</v>
      </c>
      <c r="D10">
        <v>15</v>
      </c>
      <c r="E10" t="s">
        <v>85</v>
      </c>
    </row>
    <row r="11" spans="1:5" x14ac:dyDescent="0.25">
      <c r="A11" t="s">
        <v>84</v>
      </c>
      <c r="B11">
        <v>10</v>
      </c>
      <c r="C11">
        <v>69.72</v>
      </c>
      <c r="D11">
        <v>15</v>
      </c>
      <c r="E11" t="s">
        <v>85</v>
      </c>
    </row>
    <row r="12" spans="1:5" x14ac:dyDescent="0.25">
      <c r="A12" t="s">
        <v>84</v>
      </c>
      <c r="B12">
        <v>11</v>
      </c>
      <c r="C12">
        <v>69.72</v>
      </c>
      <c r="D12">
        <v>15</v>
      </c>
      <c r="E12" t="s">
        <v>85</v>
      </c>
    </row>
    <row r="13" spans="1:5" x14ac:dyDescent="0.25">
      <c r="A13" t="s">
        <v>84</v>
      </c>
      <c r="B13">
        <v>12</v>
      </c>
      <c r="C13">
        <v>69.72</v>
      </c>
      <c r="D13">
        <v>15</v>
      </c>
      <c r="E13" t="s">
        <v>85</v>
      </c>
    </row>
    <row r="14" spans="1:5" x14ac:dyDescent="0.25">
      <c r="A14" t="s">
        <v>84</v>
      </c>
      <c r="B14">
        <v>13</v>
      </c>
      <c r="C14">
        <v>73.47</v>
      </c>
      <c r="D14">
        <v>15</v>
      </c>
      <c r="E14" t="s">
        <v>85</v>
      </c>
    </row>
    <row r="15" spans="1:5" x14ac:dyDescent="0.25">
      <c r="A15" t="s">
        <v>84</v>
      </c>
      <c r="B15">
        <v>14</v>
      </c>
      <c r="C15">
        <v>73.47</v>
      </c>
      <c r="D15">
        <v>15</v>
      </c>
      <c r="E15" t="s">
        <v>85</v>
      </c>
    </row>
    <row r="16" spans="1:5" x14ac:dyDescent="0.25">
      <c r="A16" t="s">
        <v>84</v>
      </c>
      <c r="B16">
        <v>15</v>
      </c>
      <c r="C16">
        <v>73.47</v>
      </c>
      <c r="D16">
        <v>15</v>
      </c>
      <c r="E16" t="s">
        <v>85</v>
      </c>
    </row>
    <row r="17" spans="1:5" x14ac:dyDescent="0.25">
      <c r="A17" t="s">
        <v>84</v>
      </c>
      <c r="B17">
        <v>16</v>
      </c>
      <c r="C17">
        <v>73.47</v>
      </c>
      <c r="D17">
        <v>15</v>
      </c>
      <c r="E17" t="s">
        <v>85</v>
      </c>
    </row>
    <row r="18" spans="1:5" x14ac:dyDescent="0.25">
      <c r="A18" t="s">
        <v>84</v>
      </c>
      <c r="B18">
        <v>17</v>
      </c>
      <c r="C18">
        <v>73.459999999998999</v>
      </c>
      <c r="D18">
        <v>15</v>
      </c>
      <c r="E18" t="s">
        <v>85</v>
      </c>
    </row>
    <row r="19" spans="1:5" x14ac:dyDescent="0.25">
      <c r="A19" t="s">
        <v>84</v>
      </c>
      <c r="B19">
        <v>18</v>
      </c>
      <c r="C19">
        <v>73.459999999998999</v>
      </c>
      <c r="D19">
        <v>15</v>
      </c>
      <c r="E19" t="s">
        <v>85</v>
      </c>
    </row>
    <row r="20" spans="1:5" x14ac:dyDescent="0.25">
      <c r="A20" t="s">
        <v>84</v>
      </c>
      <c r="B20">
        <v>19</v>
      </c>
      <c r="C20">
        <v>73.459999999998999</v>
      </c>
      <c r="D20">
        <v>15</v>
      </c>
      <c r="E20" t="s">
        <v>85</v>
      </c>
    </row>
    <row r="21" spans="1:5" x14ac:dyDescent="0.25">
      <c r="A21" t="s">
        <v>84</v>
      </c>
      <c r="B21">
        <v>20</v>
      </c>
      <c r="C21">
        <v>73.459999999998999</v>
      </c>
      <c r="D21">
        <v>15</v>
      </c>
      <c r="E21" t="s">
        <v>85</v>
      </c>
    </row>
    <row r="22" spans="1:5" x14ac:dyDescent="0.25">
      <c r="A22" t="s">
        <v>84</v>
      </c>
      <c r="B22">
        <v>21</v>
      </c>
      <c r="C22">
        <v>54.48</v>
      </c>
      <c r="D22">
        <v>15</v>
      </c>
      <c r="E22" t="s">
        <v>85</v>
      </c>
    </row>
    <row r="23" spans="1:5" x14ac:dyDescent="0.25">
      <c r="A23" t="s">
        <v>84</v>
      </c>
      <c r="B23">
        <v>22</v>
      </c>
      <c r="C23">
        <v>54.48</v>
      </c>
      <c r="D23">
        <v>15</v>
      </c>
      <c r="E23" t="s">
        <v>85</v>
      </c>
    </row>
    <row r="24" spans="1:5" x14ac:dyDescent="0.25">
      <c r="A24" t="s">
        <v>84</v>
      </c>
      <c r="B24">
        <v>23</v>
      </c>
      <c r="C24">
        <v>61.08</v>
      </c>
      <c r="D24">
        <v>15</v>
      </c>
      <c r="E24" t="s">
        <v>85</v>
      </c>
    </row>
    <row r="25" spans="1:5" x14ac:dyDescent="0.25">
      <c r="A25" t="s">
        <v>84</v>
      </c>
      <c r="B25">
        <v>24</v>
      </c>
      <c r="C25">
        <v>73</v>
      </c>
      <c r="D25">
        <v>15</v>
      </c>
      <c r="E25" t="s">
        <v>85</v>
      </c>
    </row>
    <row r="26" spans="1:5" x14ac:dyDescent="0.25">
      <c r="A26" t="s">
        <v>84</v>
      </c>
      <c r="B26">
        <v>25</v>
      </c>
      <c r="C26">
        <v>54.3</v>
      </c>
      <c r="D26">
        <v>15</v>
      </c>
      <c r="E26" t="s">
        <v>85</v>
      </c>
    </row>
    <row r="27" spans="1:5" x14ac:dyDescent="0.25">
      <c r="A27" t="s">
        <v>84</v>
      </c>
      <c r="B27">
        <v>26</v>
      </c>
      <c r="C27">
        <v>77.3</v>
      </c>
      <c r="D27">
        <v>15</v>
      </c>
      <c r="E27" t="s">
        <v>85</v>
      </c>
    </row>
    <row r="28" spans="1:5" x14ac:dyDescent="0.25">
      <c r="A28" t="s">
        <v>84</v>
      </c>
      <c r="B28">
        <v>27</v>
      </c>
      <c r="C28">
        <v>92</v>
      </c>
      <c r="D28">
        <v>15</v>
      </c>
      <c r="E28" t="s">
        <v>85</v>
      </c>
    </row>
    <row r="29" spans="1:5" x14ac:dyDescent="0.25">
      <c r="A29" t="s">
        <v>84</v>
      </c>
      <c r="B29">
        <v>28</v>
      </c>
      <c r="C29">
        <v>93.28</v>
      </c>
      <c r="D29">
        <v>15</v>
      </c>
      <c r="E29" t="s">
        <v>85</v>
      </c>
    </row>
    <row r="30" spans="1:5" x14ac:dyDescent="0.25">
      <c r="A30" t="s">
        <v>84</v>
      </c>
      <c r="B30">
        <v>29</v>
      </c>
      <c r="C30">
        <v>87.02</v>
      </c>
      <c r="D30">
        <v>15</v>
      </c>
      <c r="E30" t="s">
        <v>85</v>
      </c>
    </row>
    <row r="31" spans="1:5" x14ac:dyDescent="0.25">
      <c r="A31" t="s">
        <v>84</v>
      </c>
      <c r="B31">
        <v>30</v>
      </c>
      <c r="C31">
        <v>88.22</v>
      </c>
      <c r="D31">
        <v>15</v>
      </c>
      <c r="E31" t="s">
        <v>85</v>
      </c>
    </row>
    <row r="32" spans="1:5" x14ac:dyDescent="0.25">
      <c r="A32" t="s">
        <v>84</v>
      </c>
      <c r="B32">
        <v>31</v>
      </c>
      <c r="C32">
        <v>92.02</v>
      </c>
      <c r="D32">
        <v>15</v>
      </c>
      <c r="E32" t="s">
        <v>85</v>
      </c>
    </row>
    <row r="33" spans="1:5" x14ac:dyDescent="0.25">
      <c r="A33" t="s">
        <v>84</v>
      </c>
      <c r="B33">
        <v>32</v>
      </c>
      <c r="C33">
        <v>98.19</v>
      </c>
      <c r="D33">
        <v>15</v>
      </c>
      <c r="E33" t="s">
        <v>85</v>
      </c>
    </row>
    <row r="34" spans="1:5" x14ac:dyDescent="0.25">
      <c r="A34" t="s">
        <v>84</v>
      </c>
      <c r="B34">
        <v>33</v>
      </c>
      <c r="C34">
        <v>110</v>
      </c>
      <c r="D34">
        <v>15</v>
      </c>
      <c r="E34" t="s">
        <v>85</v>
      </c>
    </row>
    <row r="35" spans="1:5" x14ac:dyDescent="0.25">
      <c r="A35" t="s">
        <v>84</v>
      </c>
      <c r="B35">
        <v>34</v>
      </c>
      <c r="C35">
        <v>110</v>
      </c>
      <c r="D35">
        <v>15</v>
      </c>
      <c r="E35" t="s">
        <v>85</v>
      </c>
    </row>
    <row r="36" spans="1:5" x14ac:dyDescent="0.25">
      <c r="A36" t="s">
        <v>84</v>
      </c>
      <c r="B36">
        <v>35</v>
      </c>
      <c r="C36">
        <v>110</v>
      </c>
      <c r="D36">
        <v>15</v>
      </c>
      <c r="E36" t="s">
        <v>85</v>
      </c>
    </row>
    <row r="37" spans="1:5" x14ac:dyDescent="0.25">
      <c r="A37" t="s">
        <v>84</v>
      </c>
      <c r="B37">
        <v>36</v>
      </c>
      <c r="C37">
        <v>98.210000000000008</v>
      </c>
      <c r="D37">
        <v>15</v>
      </c>
      <c r="E37" t="s">
        <v>85</v>
      </c>
    </row>
    <row r="38" spans="1:5" x14ac:dyDescent="0.25">
      <c r="A38" t="s">
        <v>84</v>
      </c>
      <c r="B38">
        <v>37</v>
      </c>
      <c r="C38">
        <v>87.489999999999</v>
      </c>
      <c r="D38">
        <v>15</v>
      </c>
      <c r="E38" t="s">
        <v>85</v>
      </c>
    </row>
    <row r="39" spans="1:5" x14ac:dyDescent="0.25">
      <c r="A39" t="s">
        <v>84</v>
      </c>
      <c r="B39">
        <v>38</v>
      </c>
      <c r="C39">
        <v>87.489999999999</v>
      </c>
      <c r="D39">
        <v>15</v>
      </c>
      <c r="E39" t="s">
        <v>85</v>
      </c>
    </row>
    <row r="40" spans="1:5" x14ac:dyDescent="0.25">
      <c r="A40" t="s">
        <v>84</v>
      </c>
      <c r="B40">
        <v>39</v>
      </c>
      <c r="C40">
        <v>79</v>
      </c>
      <c r="D40">
        <v>15</v>
      </c>
      <c r="E40" t="s">
        <v>85</v>
      </c>
    </row>
    <row r="41" spans="1:5" x14ac:dyDescent="0.25">
      <c r="A41" t="s">
        <v>84</v>
      </c>
      <c r="B41">
        <v>40</v>
      </c>
      <c r="C41">
        <v>67.489999999999</v>
      </c>
      <c r="D41">
        <v>15</v>
      </c>
      <c r="E41" t="s">
        <v>85</v>
      </c>
    </row>
    <row r="42" spans="1:5" x14ac:dyDescent="0.25">
      <c r="A42" t="s">
        <v>84</v>
      </c>
      <c r="B42">
        <v>41</v>
      </c>
      <c r="C42">
        <v>90</v>
      </c>
      <c r="D42">
        <v>15</v>
      </c>
      <c r="E42" t="s">
        <v>85</v>
      </c>
    </row>
    <row r="43" spans="1:5" x14ac:dyDescent="0.25">
      <c r="A43" t="s">
        <v>84</v>
      </c>
      <c r="B43">
        <v>42</v>
      </c>
      <c r="C43">
        <v>85.09</v>
      </c>
      <c r="D43">
        <v>15</v>
      </c>
      <c r="E43" t="s">
        <v>85</v>
      </c>
    </row>
    <row r="44" spans="1:5" x14ac:dyDescent="0.25">
      <c r="A44" t="s">
        <v>84</v>
      </c>
      <c r="B44">
        <v>43</v>
      </c>
      <c r="C44">
        <v>71</v>
      </c>
      <c r="D44">
        <v>15</v>
      </c>
      <c r="E44" t="s">
        <v>85</v>
      </c>
    </row>
    <row r="45" spans="1:5" x14ac:dyDescent="0.25">
      <c r="A45" t="s">
        <v>84</v>
      </c>
      <c r="B45">
        <v>44</v>
      </c>
      <c r="C45">
        <v>64.930000000000007</v>
      </c>
      <c r="D45">
        <v>15</v>
      </c>
      <c r="E45" t="s">
        <v>85</v>
      </c>
    </row>
    <row r="46" spans="1:5" x14ac:dyDescent="0.25">
      <c r="A46" t="s">
        <v>84</v>
      </c>
      <c r="B46">
        <v>45</v>
      </c>
      <c r="C46">
        <v>78.5</v>
      </c>
      <c r="D46">
        <v>15</v>
      </c>
      <c r="E46" t="s">
        <v>85</v>
      </c>
    </row>
    <row r="47" spans="1:5" x14ac:dyDescent="0.25">
      <c r="A47" t="s">
        <v>84</v>
      </c>
      <c r="B47">
        <v>46</v>
      </c>
      <c r="C47">
        <v>73.88</v>
      </c>
      <c r="D47">
        <v>15</v>
      </c>
      <c r="E47" t="s">
        <v>85</v>
      </c>
    </row>
    <row r="48" spans="1:5" x14ac:dyDescent="0.25">
      <c r="A48" t="s">
        <v>84</v>
      </c>
      <c r="B48">
        <v>47</v>
      </c>
      <c r="C48">
        <v>58</v>
      </c>
      <c r="D48">
        <v>15</v>
      </c>
      <c r="E48" t="s">
        <v>85</v>
      </c>
    </row>
    <row r="49" spans="1:5" x14ac:dyDescent="0.25">
      <c r="A49" t="s">
        <v>84</v>
      </c>
      <c r="B49">
        <v>48</v>
      </c>
      <c r="C49">
        <v>54</v>
      </c>
      <c r="D49">
        <v>15</v>
      </c>
      <c r="E49" t="s">
        <v>85</v>
      </c>
    </row>
    <row r="50" spans="1:5" x14ac:dyDescent="0.25">
      <c r="A50" t="s">
        <v>84</v>
      </c>
      <c r="B50">
        <v>49</v>
      </c>
      <c r="C50">
        <v>70</v>
      </c>
      <c r="D50">
        <v>15</v>
      </c>
      <c r="E50" t="s">
        <v>85</v>
      </c>
    </row>
    <row r="51" spans="1:5" x14ac:dyDescent="0.25">
      <c r="A51" t="s">
        <v>84</v>
      </c>
      <c r="B51">
        <v>50</v>
      </c>
      <c r="C51">
        <v>55</v>
      </c>
      <c r="D51">
        <v>15</v>
      </c>
      <c r="E51" t="s">
        <v>85</v>
      </c>
    </row>
    <row r="52" spans="1:5" x14ac:dyDescent="0.25">
      <c r="A52" t="s">
        <v>84</v>
      </c>
      <c r="B52">
        <v>51</v>
      </c>
      <c r="C52">
        <v>54.27</v>
      </c>
      <c r="D52">
        <v>15</v>
      </c>
      <c r="E52" t="s">
        <v>85</v>
      </c>
    </row>
    <row r="53" spans="1:5" x14ac:dyDescent="0.25">
      <c r="A53" t="s">
        <v>84</v>
      </c>
      <c r="B53">
        <v>52</v>
      </c>
      <c r="C53">
        <v>54.27</v>
      </c>
      <c r="D53">
        <v>15</v>
      </c>
      <c r="E53" t="s">
        <v>85</v>
      </c>
    </row>
    <row r="54" spans="1:5" x14ac:dyDescent="0.25">
      <c r="A54" t="s">
        <v>84</v>
      </c>
      <c r="B54">
        <v>53</v>
      </c>
      <c r="C54">
        <v>51.12</v>
      </c>
      <c r="D54">
        <v>15</v>
      </c>
      <c r="E54" t="s">
        <v>85</v>
      </c>
    </row>
    <row r="55" spans="1:5" x14ac:dyDescent="0.25">
      <c r="A55" t="s">
        <v>84</v>
      </c>
      <c r="B55">
        <v>54</v>
      </c>
      <c r="C55">
        <v>52.16</v>
      </c>
      <c r="D55">
        <v>15</v>
      </c>
      <c r="E55" t="s">
        <v>85</v>
      </c>
    </row>
    <row r="56" spans="1:5" x14ac:dyDescent="0.25">
      <c r="A56" t="s">
        <v>84</v>
      </c>
      <c r="B56">
        <v>55</v>
      </c>
      <c r="C56">
        <v>54.45</v>
      </c>
      <c r="D56">
        <v>15</v>
      </c>
      <c r="E56" t="s">
        <v>85</v>
      </c>
    </row>
    <row r="57" spans="1:5" x14ac:dyDescent="0.25">
      <c r="A57" t="s">
        <v>84</v>
      </c>
      <c r="B57">
        <v>56</v>
      </c>
      <c r="C57">
        <v>54.45</v>
      </c>
      <c r="D57">
        <v>15</v>
      </c>
      <c r="E57" t="s">
        <v>85</v>
      </c>
    </row>
    <row r="58" spans="1:5" x14ac:dyDescent="0.25">
      <c r="A58" t="s">
        <v>84</v>
      </c>
      <c r="B58">
        <v>57</v>
      </c>
      <c r="C58">
        <v>54.64</v>
      </c>
      <c r="D58">
        <v>15</v>
      </c>
      <c r="E58" t="s">
        <v>85</v>
      </c>
    </row>
    <row r="59" spans="1:5" x14ac:dyDescent="0.25">
      <c r="A59" t="s">
        <v>84</v>
      </c>
      <c r="B59">
        <v>58</v>
      </c>
      <c r="C59">
        <v>55.91</v>
      </c>
      <c r="D59">
        <v>15</v>
      </c>
      <c r="E59" t="s">
        <v>85</v>
      </c>
    </row>
    <row r="60" spans="1:5" x14ac:dyDescent="0.25">
      <c r="A60" t="s">
        <v>84</v>
      </c>
      <c r="B60">
        <v>59</v>
      </c>
      <c r="C60">
        <v>57.36</v>
      </c>
      <c r="D60">
        <v>15</v>
      </c>
      <c r="E60" t="s">
        <v>85</v>
      </c>
    </row>
    <row r="61" spans="1:5" x14ac:dyDescent="0.25">
      <c r="A61" t="s">
        <v>84</v>
      </c>
      <c r="B61">
        <v>60</v>
      </c>
      <c r="C61">
        <v>62.36</v>
      </c>
      <c r="D61">
        <v>15</v>
      </c>
      <c r="E61" t="s">
        <v>85</v>
      </c>
    </row>
    <row r="62" spans="1:5" x14ac:dyDescent="0.25">
      <c r="A62" t="s">
        <v>84</v>
      </c>
      <c r="B62">
        <v>61</v>
      </c>
      <c r="C62">
        <v>50.97</v>
      </c>
      <c r="D62">
        <v>15</v>
      </c>
      <c r="E62" t="s">
        <v>85</v>
      </c>
    </row>
    <row r="63" spans="1:5" x14ac:dyDescent="0.25">
      <c r="A63" t="s">
        <v>84</v>
      </c>
      <c r="B63">
        <v>62</v>
      </c>
      <c r="C63">
        <v>52.16</v>
      </c>
      <c r="D63">
        <v>15</v>
      </c>
      <c r="E63" t="s">
        <v>85</v>
      </c>
    </row>
    <row r="64" spans="1:5" x14ac:dyDescent="0.25">
      <c r="A64" t="s">
        <v>84</v>
      </c>
      <c r="B64">
        <v>63</v>
      </c>
      <c r="C64">
        <v>54.7</v>
      </c>
      <c r="D64">
        <v>15</v>
      </c>
      <c r="E64" t="s">
        <v>85</v>
      </c>
    </row>
    <row r="65" spans="1:5" x14ac:dyDescent="0.25">
      <c r="A65" t="s">
        <v>84</v>
      </c>
      <c r="B65">
        <v>64</v>
      </c>
      <c r="C65">
        <v>56.7</v>
      </c>
      <c r="D65">
        <v>15</v>
      </c>
      <c r="E65" t="s">
        <v>85</v>
      </c>
    </row>
    <row r="66" spans="1:5" x14ac:dyDescent="0.25">
      <c r="A66" t="s">
        <v>84</v>
      </c>
      <c r="B66">
        <v>65</v>
      </c>
      <c r="C66">
        <v>54.650000000000013</v>
      </c>
      <c r="D66">
        <v>15</v>
      </c>
      <c r="E66" t="s">
        <v>85</v>
      </c>
    </row>
    <row r="67" spans="1:5" x14ac:dyDescent="0.25">
      <c r="A67" t="s">
        <v>84</v>
      </c>
      <c r="B67">
        <v>66</v>
      </c>
      <c r="C67">
        <v>58.989999999999903</v>
      </c>
      <c r="D67">
        <v>15</v>
      </c>
      <c r="E67" t="s">
        <v>85</v>
      </c>
    </row>
    <row r="68" spans="1:5" x14ac:dyDescent="0.25">
      <c r="A68" t="s">
        <v>84</v>
      </c>
      <c r="B68">
        <v>67</v>
      </c>
      <c r="C68">
        <v>74.540000000000006</v>
      </c>
      <c r="D68">
        <v>15</v>
      </c>
      <c r="E68" t="s">
        <v>85</v>
      </c>
    </row>
    <row r="69" spans="1:5" x14ac:dyDescent="0.25">
      <c r="A69" t="s">
        <v>84</v>
      </c>
      <c r="B69">
        <v>68</v>
      </c>
      <c r="C69">
        <v>75.040000000000006</v>
      </c>
      <c r="D69">
        <v>15</v>
      </c>
      <c r="E69" t="s">
        <v>85</v>
      </c>
    </row>
    <row r="70" spans="1:5" x14ac:dyDescent="0.25">
      <c r="A70" t="s">
        <v>84</v>
      </c>
      <c r="B70">
        <v>69</v>
      </c>
      <c r="C70">
        <v>55</v>
      </c>
      <c r="D70">
        <v>15</v>
      </c>
      <c r="E70" t="s">
        <v>85</v>
      </c>
    </row>
    <row r="71" spans="1:5" x14ac:dyDescent="0.25">
      <c r="A71" t="s">
        <v>84</v>
      </c>
      <c r="B71">
        <v>70</v>
      </c>
      <c r="C71">
        <v>60</v>
      </c>
      <c r="D71">
        <v>15</v>
      </c>
      <c r="E71" t="s">
        <v>85</v>
      </c>
    </row>
    <row r="72" spans="1:5" x14ac:dyDescent="0.25">
      <c r="A72" t="s">
        <v>84</v>
      </c>
      <c r="B72">
        <v>71</v>
      </c>
      <c r="C72">
        <v>70</v>
      </c>
      <c r="D72">
        <v>15</v>
      </c>
      <c r="E72" t="s">
        <v>85</v>
      </c>
    </row>
    <row r="73" spans="1:5" x14ac:dyDescent="0.25">
      <c r="A73" t="s">
        <v>84</v>
      </c>
      <c r="B73">
        <v>72</v>
      </c>
      <c r="C73">
        <v>79.92</v>
      </c>
      <c r="D73">
        <v>15</v>
      </c>
      <c r="E73" t="s">
        <v>85</v>
      </c>
    </row>
    <row r="74" spans="1:5" x14ac:dyDescent="0.25">
      <c r="A74" t="s">
        <v>84</v>
      </c>
      <c r="B74">
        <v>73</v>
      </c>
      <c r="C74">
        <v>69.03</v>
      </c>
      <c r="D74">
        <v>15</v>
      </c>
      <c r="E74" t="s">
        <v>85</v>
      </c>
    </row>
    <row r="75" spans="1:5" x14ac:dyDescent="0.25">
      <c r="A75" t="s">
        <v>84</v>
      </c>
      <c r="B75">
        <v>74</v>
      </c>
      <c r="C75">
        <v>74</v>
      </c>
      <c r="D75">
        <v>15</v>
      </c>
      <c r="E75" t="s">
        <v>85</v>
      </c>
    </row>
    <row r="76" spans="1:5" x14ac:dyDescent="0.25">
      <c r="A76" t="s">
        <v>84</v>
      </c>
      <c r="B76">
        <v>75</v>
      </c>
      <c r="C76">
        <v>89</v>
      </c>
      <c r="D76">
        <v>15</v>
      </c>
      <c r="E76" t="s">
        <v>85</v>
      </c>
    </row>
    <row r="77" spans="1:5" x14ac:dyDescent="0.25">
      <c r="A77" t="s">
        <v>84</v>
      </c>
      <c r="B77">
        <v>76</v>
      </c>
      <c r="C77">
        <v>89</v>
      </c>
      <c r="D77">
        <v>15</v>
      </c>
      <c r="E77" t="s">
        <v>85</v>
      </c>
    </row>
    <row r="78" spans="1:5" x14ac:dyDescent="0.25">
      <c r="A78" t="s">
        <v>84</v>
      </c>
      <c r="B78">
        <v>77</v>
      </c>
      <c r="C78">
        <v>98.490000000000009</v>
      </c>
      <c r="D78">
        <v>15</v>
      </c>
      <c r="E78" t="s">
        <v>85</v>
      </c>
    </row>
    <row r="79" spans="1:5" x14ac:dyDescent="0.25">
      <c r="A79" t="s">
        <v>84</v>
      </c>
      <c r="B79">
        <v>78</v>
      </c>
      <c r="C79">
        <v>120.83</v>
      </c>
      <c r="D79">
        <v>15</v>
      </c>
      <c r="E79" t="s">
        <v>85</v>
      </c>
    </row>
    <row r="80" spans="1:5" x14ac:dyDescent="0.25">
      <c r="A80" t="s">
        <v>84</v>
      </c>
      <c r="B80">
        <v>79</v>
      </c>
      <c r="C80">
        <v>135.94</v>
      </c>
      <c r="D80">
        <v>15</v>
      </c>
      <c r="E80" t="s">
        <v>85</v>
      </c>
    </row>
    <row r="81" spans="1:5" x14ac:dyDescent="0.25">
      <c r="A81" t="s">
        <v>84</v>
      </c>
      <c r="B81">
        <v>80</v>
      </c>
      <c r="C81">
        <v>140.83000000000001</v>
      </c>
      <c r="D81">
        <v>15</v>
      </c>
      <c r="E81" t="s">
        <v>85</v>
      </c>
    </row>
    <row r="82" spans="1:5" x14ac:dyDescent="0.25">
      <c r="A82" t="s">
        <v>84</v>
      </c>
      <c r="B82">
        <v>81</v>
      </c>
      <c r="C82">
        <v>89.7</v>
      </c>
      <c r="D82">
        <v>15</v>
      </c>
      <c r="E82" t="s">
        <v>85</v>
      </c>
    </row>
    <row r="83" spans="1:5" x14ac:dyDescent="0.25">
      <c r="A83" t="s">
        <v>84</v>
      </c>
      <c r="B83">
        <v>82</v>
      </c>
      <c r="C83">
        <v>86.8</v>
      </c>
      <c r="D83">
        <v>15</v>
      </c>
      <c r="E83" t="s">
        <v>85</v>
      </c>
    </row>
    <row r="84" spans="1:5" x14ac:dyDescent="0.25">
      <c r="A84" t="s">
        <v>84</v>
      </c>
      <c r="B84">
        <v>83</v>
      </c>
      <c r="C84">
        <v>86.8</v>
      </c>
      <c r="D84">
        <v>15</v>
      </c>
      <c r="E84" t="s">
        <v>85</v>
      </c>
    </row>
    <row r="85" spans="1:5" x14ac:dyDescent="0.25">
      <c r="A85" t="s">
        <v>84</v>
      </c>
      <c r="B85">
        <v>84</v>
      </c>
      <c r="C85">
        <v>73.790000000000006</v>
      </c>
      <c r="D85">
        <v>15</v>
      </c>
      <c r="E85" t="s">
        <v>85</v>
      </c>
    </row>
    <row r="86" spans="1:5" x14ac:dyDescent="0.25">
      <c r="A86" t="s">
        <v>84</v>
      </c>
      <c r="B86">
        <v>85</v>
      </c>
      <c r="C86">
        <v>73.89</v>
      </c>
      <c r="D86">
        <v>15</v>
      </c>
      <c r="E86" t="s">
        <v>85</v>
      </c>
    </row>
    <row r="87" spans="1:5" x14ac:dyDescent="0.25">
      <c r="A87" t="s">
        <v>84</v>
      </c>
      <c r="B87">
        <v>86</v>
      </c>
      <c r="C87">
        <v>65.28</v>
      </c>
      <c r="D87">
        <v>15</v>
      </c>
      <c r="E87" t="s">
        <v>85</v>
      </c>
    </row>
    <row r="88" spans="1:5" x14ac:dyDescent="0.25">
      <c r="A88" t="s">
        <v>84</v>
      </c>
      <c r="B88">
        <v>87</v>
      </c>
      <c r="C88">
        <v>61.3</v>
      </c>
      <c r="D88">
        <v>15</v>
      </c>
      <c r="E88" t="s">
        <v>85</v>
      </c>
    </row>
    <row r="89" spans="1:5" x14ac:dyDescent="0.25">
      <c r="A89" t="s">
        <v>84</v>
      </c>
      <c r="B89">
        <v>88</v>
      </c>
      <c r="C89">
        <v>55.58</v>
      </c>
      <c r="D89">
        <v>15</v>
      </c>
      <c r="E89" t="s">
        <v>85</v>
      </c>
    </row>
    <row r="90" spans="1:5" x14ac:dyDescent="0.25">
      <c r="A90" t="s">
        <v>84</v>
      </c>
      <c r="B90">
        <v>89</v>
      </c>
      <c r="C90">
        <v>65.34</v>
      </c>
      <c r="D90">
        <v>15</v>
      </c>
      <c r="E90" t="s">
        <v>85</v>
      </c>
    </row>
    <row r="91" spans="1:5" x14ac:dyDescent="0.25">
      <c r="A91" t="s">
        <v>84</v>
      </c>
      <c r="B91">
        <v>90</v>
      </c>
      <c r="C91">
        <v>69</v>
      </c>
      <c r="D91">
        <v>15</v>
      </c>
      <c r="E91" t="s">
        <v>85</v>
      </c>
    </row>
    <row r="92" spans="1:5" x14ac:dyDescent="0.25">
      <c r="A92" t="s">
        <v>84</v>
      </c>
      <c r="B92">
        <v>91</v>
      </c>
      <c r="C92">
        <v>59.62</v>
      </c>
      <c r="D92">
        <v>15</v>
      </c>
      <c r="E92" t="s">
        <v>85</v>
      </c>
    </row>
    <row r="93" spans="1:5" x14ac:dyDescent="0.25">
      <c r="A93" t="s">
        <v>84</v>
      </c>
      <c r="B93">
        <v>92</v>
      </c>
      <c r="C93">
        <v>53.53</v>
      </c>
      <c r="D93">
        <v>15</v>
      </c>
      <c r="E93" t="s">
        <v>85</v>
      </c>
    </row>
    <row r="94" spans="1:5" x14ac:dyDescent="0.25">
      <c r="A94" t="s">
        <v>84</v>
      </c>
      <c r="B94">
        <v>93</v>
      </c>
      <c r="C94">
        <v>65.36</v>
      </c>
      <c r="D94">
        <v>15</v>
      </c>
      <c r="E94" t="s">
        <v>85</v>
      </c>
    </row>
    <row r="95" spans="1:5" x14ac:dyDescent="0.25">
      <c r="A95" t="s">
        <v>84</v>
      </c>
      <c r="B95">
        <v>94</v>
      </c>
      <c r="C95">
        <v>64.44</v>
      </c>
      <c r="D95">
        <v>15</v>
      </c>
      <c r="E95" t="s">
        <v>85</v>
      </c>
    </row>
    <row r="96" spans="1:5" x14ac:dyDescent="0.25">
      <c r="A96" t="s">
        <v>84</v>
      </c>
      <c r="B96">
        <v>95</v>
      </c>
      <c r="C96">
        <v>53.48</v>
      </c>
      <c r="D96">
        <v>15</v>
      </c>
      <c r="E96" t="s">
        <v>85</v>
      </c>
    </row>
    <row r="97" spans="1:5" x14ac:dyDescent="0.25">
      <c r="A97" t="s">
        <v>84</v>
      </c>
      <c r="B97">
        <v>96</v>
      </c>
      <c r="C97">
        <v>50.069999999999887</v>
      </c>
      <c r="D97">
        <v>15</v>
      </c>
      <c r="E97" t="s">
        <v>85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1"/>
  <dimension ref="A1:E97"/>
  <sheetViews>
    <sheetView workbookViewId="0">
      <selection sqref="A1:E97"/>
    </sheetView>
  </sheetViews>
  <sheetFormatPr defaultRowHeight="15" x14ac:dyDescent="0.25"/>
  <sheetData>
    <row r="1" spans="1:5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</row>
    <row r="2" spans="1:5" x14ac:dyDescent="0.25">
      <c r="A2" t="s">
        <v>84</v>
      </c>
      <c r="B2">
        <v>1</v>
      </c>
      <c r="C2">
        <v>83.81</v>
      </c>
      <c r="D2">
        <v>2</v>
      </c>
      <c r="E2" t="s">
        <v>85</v>
      </c>
    </row>
    <row r="3" spans="1:5" x14ac:dyDescent="0.25">
      <c r="A3" t="s">
        <v>84</v>
      </c>
      <c r="B3">
        <v>2</v>
      </c>
      <c r="C3">
        <v>95.24</v>
      </c>
      <c r="D3">
        <v>2</v>
      </c>
      <c r="E3" t="s">
        <v>85</v>
      </c>
    </row>
    <row r="4" spans="1:5" x14ac:dyDescent="0.25">
      <c r="A4" t="s">
        <v>84</v>
      </c>
      <c r="B4">
        <v>3</v>
      </c>
      <c r="C4">
        <v>88</v>
      </c>
      <c r="D4">
        <v>2</v>
      </c>
      <c r="E4" t="s">
        <v>85</v>
      </c>
    </row>
    <row r="5" spans="1:5" x14ac:dyDescent="0.25">
      <c r="A5" t="s">
        <v>84</v>
      </c>
      <c r="B5">
        <v>4</v>
      </c>
      <c r="C5">
        <v>83.81</v>
      </c>
      <c r="D5">
        <v>2</v>
      </c>
      <c r="E5" t="s">
        <v>85</v>
      </c>
    </row>
    <row r="6" spans="1:5" x14ac:dyDescent="0.25">
      <c r="A6" t="s">
        <v>84</v>
      </c>
      <c r="B6">
        <v>5</v>
      </c>
      <c r="C6">
        <v>93.65</v>
      </c>
      <c r="D6">
        <v>2</v>
      </c>
      <c r="E6" t="s">
        <v>85</v>
      </c>
    </row>
    <row r="7" spans="1:5" x14ac:dyDescent="0.25">
      <c r="A7" t="s">
        <v>84</v>
      </c>
      <c r="B7">
        <v>6</v>
      </c>
      <c r="C7">
        <v>87.33</v>
      </c>
      <c r="D7">
        <v>2</v>
      </c>
      <c r="E7" t="s">
        <v>85</v>
      </c>
    </row>
    <row r="8" spans="1:5" x14ac:dyDescent="0.25">
      <c r="A8" t="s">
        <v>84</v>
      </c>
      <c r="B8">
        <v>7</v>
      </c>
      <c r="C8">
        <v>85.94</v>
      </c>
      <c r="D8">
        <v>2</v>
      </c>
      <c r="E8" t="s">
        <v>85</v>
      </c>
    </row>
    <row r="9" spans="1:5" x14ac:dyDescent="0.25">
      <c r="A9" t="s">
        <v>84</v>
      </c>
      <c r="B9">
        <v>8</v>
      </c>
      <c r="C9">
        <v>85.94</v>
      </c>
      <c r="D9">
        <v>2</v>
      </c>
      <c r="E9" t="s">
        <v>85</v>
      </c>
    </row>
    <row r="10" spans="1:5" x14ac:dyDescent="0.25">
      <c r="A10" t="s">
        <v>84</v>
      </c>
      <c r="B10">
        <v>9</v>
      </c>
      <c r="C10">
        <v>96.07</v>
      </c>
      <c r="D10">
        <v>2</v>
      </c>
      <c r="E10" t="s">
        <v>85</v>
      </c>
    </row>
    <row r="11" spans="1:5" x14ac:dyDescent="0.25">
      <c r="A11" t="s">
        <v>84</v>
      </c>
      <c r="B11">
        <v>10</v>
      </c>
      <c r="C11">
        <v>96.07</v>
      </c>
      <c r="D11">
        <v>2</v>
      </c>
      <c r="E11" t="s">
        <v>85</v>
      </c>
    </row>
    <row r="12" spans="1:5" x14ac:dyDescent="0.25">
      <c r="A12" t="s">
        <v>84</v>
      </c>
      <c r="B12">
        <v>11</v>
      </c>
      <c r="C12">
        <v>94</v>
      </c>
      <c r="D12">
        <v>2</v>
      </c>
      <c r="E12" t="s">
        <v>85</v>
      </c>
    </row>
    <row r="13" spans="1:5" x14ac:dyDescent="0.25">
      <c r="A13" t="s">
        <v>84</v>
      </c>
      <c r="B13">
        <v>12</v>
      </c>
      <c r="C13">
        <v>93.54</v>
      </c>
      <c r="D13">
        <v>2</v>
      </c>
      <c r="E13" t="s">
        <v>85</v>
      </c>
    </row>
    <row r="14" spans="1:5" x14ac:dyDescent="0.25">
      <c r="A14" t="s">
        <v>84</v>
      </c>
      <c r="B14">
        <v>13</v>
      </c>
      <c r="C14">
        <v>97.32</v>
      </c>
      <c r="D14">
        <v>2</v>
      </c>
      <c r="E14" t="s">
        <v>85</v>
      </c>
    </row>
    <row r="15" spans="1:5" x14ac:dyDescent="0.25">
      <c r="A15" t="s">
        <v>84</v>
      </c>
      <c r="B15">
        <v>14</v>
      </c>
      <c r="C15">
        <v>97.32</v>
      </c>
      <c r="D15">
        <v>2</v>
      </c>
      <c r="E15" t="s">
        <v>85</v>
      </c>
    </row>
    <row r="16" spans="1:5" x14ac:dyDescent="0.25">
      <c r="A16" t="s">
        <v>84</v>
      </c>
      <c r="B16">
        <v>15</v>
      </c>
      <c r="C16">
        <v>97.32</v>
      </c>
      <c r="D16">
        <v>2</v>
      </c>
      <c r="E16" t="s">
        <v>85</v>
      </c>
    </row>
    <row r="17" spans="1:5" x14ac:dyDescent="0.25">
      <c r="A17" t="s">
        <v>84</v>
      </c>
      <c r="B17">
        <v>16</v>
      </c>
      <c r="C17">
        <v>97.32</v>
      </c>
      <c r="D17">
        <v>2</v>
      </c>
      <c r="E17" t="s">
        <v>85</v>
      </c>
    </row>
    <row r="18" spans="1:5" x14ac:dyDescent="0.25">
      <c r="A18" t="s">
        <v>84</v>
      </c>
      <c r="B18">
        <v>17</v>
      </c>
      <c r="C18">
        <v>99.9</v>
      </c>
      <c r="D18">
        <v>0.1</v>
      </c>
      <c r="E18" t="s">
        <v>85</v>
      </c>
    </row>
    <row r="19" spans="1:5" x14ac:dyDescent="0.25">
      <c r="A19" t="s">
        <v>84</v>
      </c>
      <c r="B19">
        <v>18</v>
      </c>
      <c r="C19">
        <v>100</v>
      </c>
      <c r="D19">
        <v>0.1</v>
      </c>
      <c r="E19" t="s">
        <v>85</v>
      </c>
    </row>
    <row r="20" spans="1:5" x14ac:dyDescent="0.25">
      <c r="A20" t="s">
        <v>84</v>
      </c>
      <c r="B20">
        <v>19</v>
      </c>
      <c r="C20">
        <v>99.9</v>
      </c>
      <c r="D20">
        <v>0.1</v>
      </c>
      <c r="E20" t="s">
        <v>85</v>
      </c>
    </row>
    <row r="21" spans="1:5" x14ac:dyDescent="0.25">
      <c r="A21" t="s">
        <v>84</v>
      </c>
      <c r="B21">
        <v>20</v>
      </c>
      <c r="C21">
        <v>99.9</v>
      </c>
      <c r="D21">
        <v>0.1</v>
      </c>
      <c r="E21" t="s">
        <v>85</v>
      </c>
    </row>
    <row r="22" spans="1:5" x14ac:dyDescent="0.25">
      <c r="A22" t="s">
        <v>84</v>
      </c>
      <c r="B22">
        <v>21</v>
      </c>
      <c r="C22">
        <v>88</v>
      </c>
      <c r="D22">
        <v>2</v>
      </c>
      <c r="E22" t="s">
        <v>85</v>
      </c>
    </row>
    <row r="23" spans="1:5" x14ac:dyDescent="0.25">
      <c r="A23" t="s">
        <v>84</v>
      </c>
      <c r="B23">
        <v>22</v>
      </c>
      <c r="C23">
        <v>94</v>
      </c>
      <c r="D23">
        <v>2</v>
      </c>
      <c r="E23" t="s">
        <v>85</v>
      </c>
    </row>
    <row r="24" spans="1:5" x14ac:dyDescent="0.25">
      <c r="A24" t="s">
        <v>84</v>
      </c>
      <c r="B24">
        <v>23</v>
      </c>
      <c r="C24">
        <v>94</v>
      </c>
      <c r="D24">
        <v>2</v>
      </c>
      <c r="E24" t="s">
        <v>85</v>
      </c>
    </row>
    <row r="25" spans="1:5" x14ac:dyDescent="0.25">
      <c r="A25" t="s">
        <v>84</v>
      </c>
      <c r="B25">
        <v>24</v>
      </c>
      <c r="C25">
        <v>94</v>
      </c>
      <c r="D25">
        <v>2</v>
      </c>
      <c r="E25" t="s">
        <v>85</v>
      </c>
    </row>
    <row r="26" spans="1:5" x14ac:dyDescent="0.25">
      <c r="A26" t="s">
        <v>84</v>
      </c>
      <c r="B26">
        <v>25</v>
      </c>
      <c r="C26">
        <v>97.32</v>
      </c>
      <c r="D26">
        <v>2</v>
      </c>
      <c r="E26" t="s">
        <v>85</v>
      </c>
    </row>
    <row r="27" spans="1:5" x14ac:dyDescent="0.25">
      <c r="A27" t="s">
        <v>84</v>
      </c>
      <c r="B27">
        <v>26</v>
      </c>
      <c r="C27">
        <v>103.56</v>
      </c>
      <c r="D27">
        <v>2</v>
      </c>
      <c r="E27" t="s">
        <v>85</v>
      </c>
    </row>
    <row r="28" spans="1:5" x14ac:dyDescent="0.25">
      <c r="A28" t="s">
        <v>84</v>
      </c>
      <c r="B28">
        <v>27</v>
      </c>
      <c r="C28">
        <v>115.61</v>
      </c>
      <c r="D28">
        <v>2</v>
      </c>
      <c r="E28" t="s">
        <v>85</v>
      </c>
    </row>
    <row r="29" spans="1:5" x14ac:dyDescent="0.25">
      <c r="A29" t="s">
        <v>84</v>
      </c>
      <c r="B29">
        <v>28</v>
      </c>
      <c r="C29">
        <v>118</v>
      </c>
      <c r="D29">
        <v>2</v>
      </c>
      <c r="E29" t="s">
        <v>85</v>
      </c>
    </row>
    <row r="30" spans="1:5" x14ac:dyDescent="0.25">
      <c r="A30" t="s">
        <v>84</v>
      </c>
      <c r="B30">
        <v>29</v>
      </c>
      <c r="C30">
        <v>130.16999999999999</v>
      </c>
      <c r="D30">
        <v>2</v>
      </c>
      <c r="E30" t="s">
        <v>85</v>
      </c>
    </row>
    <row r="31" spans="1:5" x14ac:dyDescent="0.25">
      <c r="A31" t="s">
        <v>84</v>
      </c>
      <c r="B31">
        <v>30</v>
      </c>
      <c r="C31">
        <v>130.16999999999999</v>
      </c>
      <c r="D31">
        <v>2</v>
      </c>
      <c r="E31" t="s">
        <v>85</v>
      </c>
    </row>
    <row r="32" spans="1:5" x14ac:dyDescent="0.25">
      <c r="A32" t="s">
        <v>84</v>
      </c>
      <c r="B32">
        <v>31</v>
      </c>
      <c r="C32">
        <v>143.1</v>
      </c>
      <c r="D32">
        <v>2</v>
      </c>
      <c r="E32" t="s">
        <v>85</v>
      </c>
    </row>
    <row r="33" spans="1:5" x14ac:dyDescent="0.25">
      <c r="A33" t="s">
        <v>84</v>
      </c>
      <c r="B33">
        <v>32</v>
      </c>
      <c r="C33">
        <v>147.69</v>
      </c>
      <c r="D33">
        <v>0.1</v>
      </c>
      <c r="E33" t="s">
        <v>85</v>
      </c>
    </row>
    <row r="34" spans="1:5" x14ac:dyDescent="0.25">
      <c r="A34" t="s">
        <v>84</v>
      </c>
      <c r="B34">
        <v>33</v>
      </c>
      <c r="C34">
        <v>148</v>
      </c>
      <c r="D34">
        <v>0.1</v>
      </c>
      <c r="E34" t="s">
        <v>85</v>
      </c>
    </row>
    <row r="35" spans="1:5" x14ac:dyDescent="0.25">
      <c r="A35" t="s">
        <v>84</v>
      </c>
      <c r="B35">
        <v>34</v>
      </c>
      <c r="C35">
        <v>145</v>
      </c>
      <c r="D35">
        <v>2</v>
      </c>
      <c r="E35" t="s">
        <v>85</v>
      </c>
    </row>
    <row r="36" spans="1:5" x14ac:dyDescent="0.25">
      <c r="A36" t="s">
        <v>84</v>
      </c>
      <c r="B36">
        <v>35</v>
      </c>
      <c r="C36">
        <v>136.5</v>
      </c>
      <c r="D36">
        <v>2</v>
      </c>
      <c r="E36" t="s">
        <v>85</v>
      </c>
    </row>
    <row r="37" spans="1:5" x14ac:dyDescent="0.25">
      <c r="A37" t="s">
        <v>84</v>
      </c>
      <c r="B37">
        <v>36</v>
      </c>
      <c r="C37">
        <v>127</v>
      </c>
      <c r="D37">
        <v>2</v>
      </c>
      <c r="E37" t="s">
        <v>85</v>
      </c>
    </row>
    <row r="38" spans="1:5" x14ac:dyDescent="0.25">
      <c r="A38" t="s">
        <v>84</v>
      </c>
      <c r="B38">
        <v>37</v>
      </c>
      <c r="C38">
        <v>139.88999999999999</v>
      </c>
      <c r="D38">
        <v>0.1</v>
      </c>
      <c r="E38" t="s">
        <v>85</v>
      </c>
    </row>
    <row r="39" spans="1:5" x14ac:dyDescent="0.25">
      <c r="A39" t="s">
        <v>84</v>
      </c>
      <c r="B39">
        <v>38</v>
      </c>
      <c r="C39">
        <v>145.19</v>
      </c>
      <c r="D39">
        <v>0.1</v>
      </c>
      <c r="E39" t="s">
        <v>85</v>
      </c>
    </row>
    <row r="40" spans="1:5" x14ac:dyDescent="0.25">
      <c r="A40" t="s">
        <v>84</v>
      </c>
      <c r="B40">
        <v>39</v>
      </c>
      <c r="C40">
        <v>122</v>
      </c>
      <c r="D40">
        <v>2</v>
      </c>
      <c r="E40" t="s">
        <v>85</v>
      </c>
    </row>
    <row r="41" spans="1:5" x14ac:dyDescent="0.25">
      <c r="A41" t="s">
        <v>84</v>
      </c>
      <c r="B41">
        <v>40</v>
      </c>
      <c r="C41">
        <v>114.48</v>
      </c>
      <c r="D41">
        <v>2</v>
      </c>
      <c r="E41" t="s">
        <v>85</v>
      </c>
    </row>
    <row r="42" spans="1:5" x14ac:dyDescent="0.25">
      <c r="A42" t="s">
        <v>84</v>
      </c>
      <c r="B42">
        <v>41</v>
      </c>
      <c r="C42">
        <v>115.6</v>
      </c>
      <c r="D42">
        <v>0.1</v>
      </c>
      <c r="E42" t="s">
        <v>85</v>
      </c>
    </row>
    <row r="43" spans="1:5" x14ac:dyDescent="0.25">
      <c r="A43" t="s">
        <v>84</v>
      </c>
      <c r="B43">
        <v>42</v>
      </c>
      <c r="C43">
        <v>114.48</v>
      </c>
      <c r="D43">
        <v>0.1</v>
      </c>
      <c r="E43" t="s">
        <v>85</v>
      </c>
    </row>
    <row r="44" spans="1:5" x14ac:dyDescent="0.25">
      <c r="A44" t="s">
        <v>84</v>
      </c>
      <c r="B44">
        <v>43</v>
      </c>
      <c r="C44">
        <v>110</v>
      </c>
      <c r="D44">
        <v>2</v>
      </c>
      <c r="E44" t="s">
        <v>85</v>
      </c>
    </row>
    <row r="45" spans="1:5" x14ac:dyDescent="0.25">
      <c r="A45" t="s">
        <v>84</v>
      </c>
      <c r="B45">
        <v>44</v>
      </c>
      <c r="C45">
        <v>105</v>
      </c>
      <c r="D45">
        <v>2</v>
      </c>
      <c r="E45" t="s">
        <v>85</v>
      </c>
    </row>
    <row r="46" spans="1:5" x14ac:dyDescent="0.25">
      <c r="A46" t="s">
        <v>84</v>
      </c>
      <c r="B46">
        <v>45</v>
      </c>
      <c r="C46">
        <v>114.48</v>
      </c>
      <c r="D46">
        <v>2</v>
      </c>
      <c r="E46" t="s">
        <v>85</v>
      </c>
    </row>
    <row r="47" spans="1:5" x14ac:dyDescent="0.25">
      <c r="A47" t="s">
        <v>84</v>
      </c>
      <c r="B47">
        <v>46</v>
      </c>
      <c r="C47">
        <v>113.14</v>
      </c>
      <c r="D47">
        <v>2</v>
      </c>
      <c r="E47" t="s">
        <v>85</v>
      </c>
    </row>
    <row r="48" spans="1:5" x14ac:dyDescent="0.25">
      <c r="A48" t="s">
        <v>84</v>
      </c>
      <c r="B48">
        <v>47</v>
      </c>
      <c r="C48">
        <v>108.95</v>
      </c>
      <c r="D48">
        <v>2</v>
      </c>
      <c r="E48" t="s">
        <v>85</v>
      </c>
    </row>
    <row r="49" spans="1:5" x14ac:dyDescent="0.25">
      <c r="A49" t="s">
        <v>84</v>
      </c>
      <c r="B49">
        <v>48</v>
      </c>
      <c r="C49">
        <v>99.54</v>
      </c>
      <c r="D49">
        <v>2</v>
      </c>
      <c r="E49" t="s">
        <v>85</v>
      </c>
    </row>
    <row r="50" spans="1:5" x14ac:dyDescent="0.25">
      <c r="A50" t="s">
        <v>84</v>
      </c>
      <c r="B50">
        <v>49</v>
      </c>
      <c r="C50">
        <v>101</v>
      </c>
      <c r="D50">
        <v>2</v>
      </c>
      <c r="E50" t="s">
        <v>85</v>
      </c>
    </row>
    <row r="51" spans="1:5" x14ac:dyDescent="0.25">
      <c r="A51" t="s">
        <v>84</v>
      </c>
      <c r="B51">
        <v>50</v>
      </c>
      <c r="C51">
        <v>100.88</v>
      </c>
      <c r="D51">
        <v>2</v>
      </c>
      <c r="E51" t="s">
        <v>85</v>
      </c>
    </row>
    <row r="52" spans="1:5" x14ac:dyDescent="0.25">
      <c r="A52" t="s">
        <v>84</v>
      </c>
      <c r="B52">
        <v>51</v>
      </c>
      <c r="C52">
        <v>100.48</v>
      </c>
      <c r="D52">
        <v>2</v>
      </c>
      <c r="E52" t="s">
        <v>85</v>
      </c>
    </row>
    <row r="53" spans="1:5" x14ac:dyDescent="0.25">
      <c r="A53" t="s">
        <v>84</v>
      </c>
      <c r="B53">
        <v>52</v>
      </c>
      <c r="C53">
        <v>100.48</v>
      </c>
      <c r="D53">
        <v>2</v>
      </c>
      <c r="E53" t="s">
        <v>85</v>
      </c>
    </row>
    <row r="54" spans="1:5" x14ac:dyDescent="0.25">
      <c r="A54" t="s">
        <v>84</v>
      </c>
      <c r="B54">
        <v>53</v>
      </c>
      <c r="C54">
        <v>99.18</v>
      </c>
      <c r="D54">
        <v>2</v>
      </c>
      <c r="E54" t="s">
        <v>85</v>
      </c>
    </row>
    <row r="55" spans="1:5" x14ac:dyDescent="0.25">
      <c r="A55" t="s">
        <v>84</v>
      </c>
      <c r="B55">
        <v>54</v>
      </c>
      <c r="C55">
        <v>100.49</v>
      </c>
      <c r="D55">
        <v>2</v>
      </c>
      <c r="E55" t="s">
        <v>85</v>
      </c>
    </row>
    <row r="56" spans="1:5" x14ac:dyDescent="0.25">
      <c r="A56" t="s">
        <v>84</v>
      </c>
      <c r="B56">
        <v>55</v>
      </c>
      <c r="C56">
        <v>101.62</v>
      </c>
      <c r="D56">
        <v>0.1</v>
      </c>
      <c r="E56" t="s">
        <v>85</v>
      </c>
    </row>
    <row r="57" spans="1:5" x14ac:dyDescent="0.25">
      <c r="A57" t="s">
        <v>84</v>
      </c>
      <c r="B57">
        <v>56</v>
      </c>
      <c r="C57">
        <v>101.62</v>
      </c>
      <c r="D57">
        <v>0.1</v>
      </c>
      <c r="E57" t="s">
        <v>85</v>
      </c>
    </row>
    <row r="58" spans="1:5" x14ac:dyDescent="0.25">
      <c r="A58" t="s">
        <v>84</v>
      </c>
      <c r="B58">
        <v>57</v>
      </c>
      <c r="C58">
        <v>99.15</v>
      </c>
      <c r="D58">
        <v>2</v>
      </c>
      <c r="E58" t="s">
        <v>85</v>
      </c>
    </row>
    <row r="59" spans="1:5" x14ac:dyDescent="0.25">
      <c r="A59" t="s">
        <v>84</v>
      </c>
      <c r="B59">
        <v>58</v>
      </c>
      <c r="C59">
        <v>98.1</v>
      </c>
      <c r="D59">
        <v>2</v>
      </c>
      <c r="E59" t="s">
        <v>85</v>
      </c>
    </row>
    <row r="60" spans="1:5" x14ac:dyDescent="0.25">
      <c r="A60" t="s">
        <v>84</v>
      </c>
      <c r="B60">
        <v>59</v>
      </c>
      <c r="C60">
        <v>98.6</v>
      </c>
      <c r="D60">
        <v>2</v>
      </c>
      <c r="E60" t="s">
        <v>85</v>
      </c>
    </row>
    <row r="61" spans="1:5" x14ac:dyDescent="0.25">
      <c r="A61" t="s">
        <v>84</v>
      </c>
      <c r="B61">
        <v>60</v>
      </c>
      <c r="C61">
        <v>99.15</v>
      </c>
      <c r="D61">
        <v>2</v>
      </c>
      <c r="E61" t="s">
        <v>85</v>
      </c>
    </row>
    <row r="62" spans="1:5" x14ac:dyDescent="0.25">
      <c r="A62" t="s">
        <v>84</v>
      </c>
      <c r="B62">
        <v>61</v>
      </c>
      <c r="C62">
        <v>99.77</v>
      </c>
      <c r="D62">
        <v>2</v>
      </c>
      <c r="E62" t="s">
        <v>85</v>
      </c>
    </row>
    <row r="63" spans="1:5" x14ac:dyDescent="0.25">
      <c r="A63" t="s">
        <v>84</v>
      </c>
      <c r="B63">
        <v>62</v>
      </c>
      <c r="C63">
        <v>101.8</v>
      </c>
      <c r="D63">
        <v>2</v>
      </c>
      <c r="E63" t="s">
        <v>85</v>
      </c>
    </row>
    <row r="64" spans="1:5" x14ac:dyDescent="0.25">
      <c r="A64" t="s">
        <v>84</v>
      </c>
      <c r="B64">
        <v>63</v>
      </c>
      <c r="C64">
        <v>107</v>
      </c>
      <c r="D64">
        <v>2</v>
      </c>
      <c r="E64" t="s">
        <v>85</v>
      </c>
    </row>
    <row r="65" spans="1:5" x14ac:dyDescent="0.25">
      <c r="A65" t="s">
        <v>84</v>
      </c>
      <c r="B65">
        <v>64</v>
      </c>
      <c r="C65">
        <v>108.56</v>
      </c>
      <c r="D65">
        <v>2</v>
      </c>
      <c r="E65" t="s">
        <v>85</v>
      </c>
    </row>
    <row r="66" spans="1:5" x14ac:dyDescent="0.25">
      <c r="A66" t="s">
        <v>84</v>
      </c>
      <c r="B66">
        <v>65</v>
      </c>
      <c r="C66">
        <v>103.37</v>
      </c>
      <c r="D66">
        <v>2</v>
      </c>
      <c r="E66" t="s">
        <v>85</v>
      </c>
    </row>
    <row r="67" spans="1:5" x14ac:dyDescent="0.25">
      <c r="A67" t="s">
        <v>84</v>
      </c>
      <c r="B67">
        <v>66</v>
      </c>
      <c r="C67">
        <v>108</v>
      </c>
      <c r="D67">
        <v>2</v>
      </c>
      <c r="E67" t="s">
        <v>85</v>
      </c>
    </row>
    <row r="68" spans="1:5" x14ac:dyDescent="0.25">
      <c r="A68" t="s">
        <v>84</v>
      </c>
      <c r="B68">
        <v>67</v>
      </c>
      <c r="C68">
        <v>113.87</v>
      </c>
      <c r="D68">
        <v>2</v>
      </c>
      <c r="E68" t="s">
        <v>85</v>
      </c>
    </row>
    <row r="69" spans="1:5" x14ac:dyDescent="0.25">
      <c r="A69" t="s">
        <v>84</v>
      </c>
      <c r="B69">
        <v>68</v>
      </c>
      <c r="C69">
        <v>118</v>
      </c>
      <c r="D69">
        <v>2</v>
      </c>
      <c r="E69" t="s">
        <v>85</v>
      </c>
    </row>
    <row r="70" spans="1:5" x14ac:dyDescent="0.25">
      <c r="A70" t="s">
        <v>84</v>
      </c>
      <c r="B70">
        <v>69</v>
      </c>
      <c r="C70">
        <v>112</v>
      </c>
      <c r="D70">
        <v>2</v>
      </c>
      <c r="E70" t="s">
        <v>85</v>
      </c>
    </row>
    <row r="71" spans="1:5" x14ac:dyDescent="0.25">
      <c r="A71" t="s">
        <v>84</v>
      </c>
      <c r="B71">
        <v>70</v>
      </c>
      <c r="C71">
        <v>115.9</v>
      </c>
      <c r="D71">
        <v>2</v>
      </c>
      <c r="E71" t="s">
        <v>85</v>
      </c>
    </row>
    <row r="72" spans="1:5" x14ac:dyDescent="0.25">
      <c r="A72" t="s">
        <v>84</v>
      </c>
      <c r="B72">
        <v>71</v>
      </c>
      <c r="C72">
        <v>128</v>
      </c>
      <c r="D72">
        <v>0.1</v>
      </c>
      <c r="E72" t="s">
        <v>85</v>
      </c>
    </row>
    <row r="73" spans="1:5" x14ac:dyDescent="0.25">
      <c r="A73" t="s">
        <v>84</v>
      </c>
      <c r="B73">
        <v>72</v>
      </c>
      <c r="C73">
        <v>139.56</v>
      </c>
      <c r="D73">
        <v>0.1</v>
      </c>
      <c r="E73" t="s">
        <v>85</v>
      </c>
    </row>
    <row r="74" spans="1:5" x14ac:dyDescent="0.25">
      <c r="A74" t="s">
        <v>84</v>
      </c>
      <c r="B74">
        <v>73</v>
      </c>
      <c r="C74">
        <v>120.5</v>
      </c>
      <c r="D74">
        <v>2</v>
      </c>
      <c r="E74" t="s">
        <v>85</v>
      </c>
    </row>
    <row r="75" spans="1:5" x14ac:dyDescent="0.25">
      <c r="A75" t="s">
        <v>84</v>
      </c>
      <c r="B75">
        <v>74</v>
      </c>
      <c r="C75">
        <v>123</v>
      </c>
      <c r="D75">
        <v>2</v>
      </c>
      <c r="E75" t="s">
        <v>85</v>
      </c>
    </row>
    <row r="76" spans="1:5" x14ac:dyDescent="0.25">
      <c r="A76" t="s">
        <v>84</v>
      </c>
      <c r="B76">
        <v>75</v>
      </c>
      <c r="C76">
        <v>131.35</v>
      </c>
      <c r="D76">
        <v>0.1</v>
      </c>
      <c r="E76" t="s">
        <v>85</v>
      </c>
    </row>
    <row r="77" spans="1:5" x14ac:dyDescent="0.25">
      <c r="A77" t="s">
        <v>84</v>
      </c>
      <c r="B77">
        <v>76</v>
      </c>
      <c r="C77">
        <v>140</v>
      </c>
      <c r="D77">
        <v>0.1</v>
      </c>
      <c r="E77" t="s">
        <v>85</v>
      </c>
    </row>
    <row r="78" spans="1:5" x14ac:dyDescent="0.25">
      <c r="A78" t="s">
        <v>84</v>
      </c>
      <c r="B78">
        <v>77</v>
      </c>
      <c r="C78">
        <v>128.88</v>
      </c>
      <c r="D78">
        <v>2</v>
      </c>
      <c r="E78" t="s">
        <v>85</v>
      </c>
    </row>
    <row r="79" spans="1:5" x14ac:dyDescent="0.25">
      <c r="A79" t="s">
        <v>84</v>
      </c>
      <c r="B79">
        <v>78</v>
      </c>
      <c r="C79">
        <v>141.74</v>
      </c>
      <c r="D79">
        <v>2</v>
      </c>
      <c r="E79" t="s">
        <v>85</v>
      </c>
    </row>
    <row r="80" spans="1:5" x14ac:dyDescent="0.25">
      <c r="A80" t="s">
        <v>84</v>
      </c>
      <c r="B80">
        <v>79</v>
      </c>
      <c r="C80">
        <v>165.74</v>
      </c>
      <c r="D80">
        <v>2</v>
      </c>
      <c r="E80" t="s">
        <v>85</v>
      </c>
    </row>
    <row r="81" spans="1:5" x14ac:dyDescent="0.25">
      <c r="A81" t="s">
        <v>84</v>
      </c>
      <c r="B81">
        <v>80</v>
      </c>
      <c r="C81">
        <v>167.24</v>
      </c>
      <c r="D81">
        <v>2</v>
      </c>
      <c r="E81" t="s">
        <v>85</v>
      </c>
    </row>
    <row r="82" spans="1:5" x14ac:dyDescent="0.25">
      <c r="A82" t="s">
        <v>84</v>
      </c>
      <c r="B82">
        <v>81</v>
      </c>
      <c r="C82">
        <v>155.82</v>
      </c>
      <c r="D82">
        <v>0.1</v>
      </c>
      <c r="E82" t="s">
        <v>85</v>
      </c>
    </row>
    <row r="83" spans="1:5" x14ac:dyDescent="0.25">
      <c r="A83" t="s">
        <v>84</v>
      </c>
      <c r="B83">
        <v>82</v>
      </c>
      <c r="C83">
        <v>139.1</v>
      </c>
      <c r="D83">
        <v>2</v>
      </c>
      <c r="E83" t="s">
        <v>85</v>
      </c>
    </row>
    <row r="84" spans="1:5" x14ac:dyDescent="0.25">
      <c r="A84" t="s">
        <v>84</v>
      </c>
      <c r="B84">
        <v>83</v>
      </c>
      <c r="C84">
        <v>128</v>
      </c>
      <c r="D84">
        <v>2</v>
      </c>
      <c r="E84" t="s">
        <v>85</v>
      </c>
    </row>
    <row r="85" spans="1:5" x14ac:dyDescent="0.25">
      <c r="A85" t="s">
        <v>84</v>
      </c>
      <c r="B85">
        <v>84</v>
      </c>
      <c r="C85">
        <v>125.09</v>
      </c>
      <c r="D85">
        <v>2</v>
      </c>
      <c r="E85" t="s">
        <v>85</v>
      </c>
    </row>
    <row r="86" spans="1:5" x14ac:dyDescent="0.25">
      <c r="A86" t="s">
        <v>84</v>
      </c>
      <c r="B86">
        <v>85</v>
      </c>
      <c r="C86">
        <v>117</v>
      </c>
      <c r="D86">
        <v>0.1</v>
      </c>
      <c r="E86" t="s">
        <v>85</v>
      </c>
    </row>
    <row r="87" spans="1:5" x14ac:dyDescent="0.25">
      <c r="A87" t="s">
        <v>84</v>
      </c>
      <c r="B87">
        <v>86</v>
      </c>
      <c r="C87">
        <v>112.52</v>
      </c>
      <c r="D87">
        <v>2</v>
      </c>
      <c r="E87" t="s">
        <v>85</v>
      </c>
    </row>
    <row r="88" spans="1:5" x14ac:dyDescent="0.25">
      <c r="A88" t="s">
        <v>84</v>
      </c>
      <c r="B88">
        <v>87</v>
      </c>
      <c r="C88">
        <v>103</v>
      </c>
      <c r="D88">
        <v>2</v>
      </c>
      <c r="E88" t="s">
        <v>85</v>
      </c>
    </row>
    <row r="89" spans="1:5" x14ac:dyDescent="0.25">
      <c r="A89" t="s">
        <v>84</v>
      </c>
      <c r="B89">
        <v>88</v>
      </c>
      <c r="C89">
        <v>100.67</v>
      </c>
      <c r="D89">
        <v>2</v>
      </c>
      <c r="E89" t="s">
        <v>85</v>
      </c>
    </row>
    <row r="90" spans="1:5" x14ac:dyDescent="0.25">
      <c r="A90" t="s">
        <v>84</v>
      </c>
      <c r="B90">
        <v>89</v>
      </c>
      <c r="C90">
        <v>101</v>
      </c>
      <c r="D90">
        <v>2</v>
      </c>
      <c r="E90" t="s">
        <v>85</v>
      </c>
    </row>
    <row r="91" spans="1:5" x14ac:dyDescent="0.25">
      <c r="A91" t="s">
        <v>84</v>
      </c>
      <c r="B91">
        <v>90</v>
      </c>
      <c r="C91">
        <v>100.84</v>
      </c>
      <c r="D91">
        <v>2</v>
      </c>
      <c r="E91" t="s">
        <v>85</v>
      </c>
    </row>
    <row r="92" spans="1:5" x14ac:dyDescent="0.25">
      <c r="A92" t="s">
        <v>84</v>
      </c>
      <c r="B92">
        <v>91</v>
      </c>
      <c r="C92">
        <v>98.66</v>
      </c>
      <c r="D92">
        <v>2</v>
      </c>
      <c r="E92" t="s">
        <v>85</v>
      </c>
    </row>
    <row r="93" spans="1:5" x14ac:dyDescent="0.25">
      <c r="A93" t="s">
        <v>84</v>
      </c>
      <c r="B93">
        <v>92</v>
      </c>
      <c r="C93">
        <v>98.66</v>
      </c>
      <c r="D93">
        <v>2</v>
      </c>
      <c r="E93" t="s">
        <v>85</v>
      </c>
    </row>
    <row r="94" spans="1:5" x14ac:dyDescent="0.25">
      <c r="A94" t="s">
        <v>84</v>
      </c>
      <c r="B94">
        <v>93</v>
      </c>
      <c r="C94">
        <v>103.76</v>
      </c>
      <c r="D94">
        <v>2</v>
      </c>
      <c r="E94" t="s">
        <v>85</v>
      </c>
    </row>
    <row r="95" spans="1:5" x14ac:dyDescent="0.25">
      <c r="A95" t="s">
        <v>84</v>
      </c>
      <c r="B95">
        <v>94</v>
      </c>
      <c r="C95">
        <v>101</v>
      </c>
      <c r="D95">
        <v>2</v>
      </c>
      <c r="E95" t="s">
        <v>85</v>
      </c>
    </row>
    <row r="96" spans="1:5" x14ac:dyDescent="0.25">
      <c r="A96" t="s">
        <v>84</v>
      </c>
      <c r="B96">
        <v>95</v>
      </c>
      <c r="C96">
        <v>98</v>
      </c>
      <c r="D96">
        <v>2</v>
      </c>
      <c r="E96" t="s">
        <v>85</v>
      </c>
    </row>
    <row r="97" spans="1:5" x14ac:dyDescent="0.25">
      <c r="A97" t="s">
        <v>84</v>
      </c>
      <c r="B97">
        <v>96</v>
      </c>
      <c r="C97">
        <v>93.92</v>
      </c>
      <c r="D97">
        <v>2</v>
      </c>
      <c r="E97" t="s">
        <v>85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2"/>
  <dimension ref="A1:E97"/>
  <sheetViews>
    <sheetView workbookViewId="0">
      <selection sqref="A1:E97"/>
    </sheetView>
  </sheetViews>
  <sheetFormatPr defaultRowHeight="15" x14ac:dyDescent="0.25"/>
  <sheetData>
    <row r="1" spans="1:5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</row>
    <row r="2" spans="1:5" x14ac:dyDescent="0.25">
      <c r="A2" t="s">
        <v>84</v>
      </c>
      <c r="B2">
        <v>1</v>
      </c>
      <c r="C2">
        <v>83.81</v>
      </c>
      <c r="D2">
        <v>2</v>
      </c>
      <c r="E2" t="s">
        <v>85</v>
      </c>
    </row>
    <row r="3" spans="1:5" x14ac:dyDescent="0.25">
      <c r="A3" t="s">
        <v>84</v>
      </c>
      <c r="B3">
        <v>2</v>
      </c>
      <c r="C3">
        <v>95.24</v>
      </c>
      <c r="D3">
        <v>2</v>
      </c>
      <c r="E3" t="s">
        <v>85</v>
      </c>
    </row>
    <row r="4" spans="1:5" x14ac:dyDescent="0.25">
      <c r="A4" t="s">
        <v>84</v>
      </c>
      <c r="B4">
        <v>3</v>
      </c>
      <c r="C4">
        <v>88</v>
      </c>
      <c r="D4">
        <v>2</v>
      </c>
      <c r="E4" t="s">
        <v>85</v>
      </c>
    </row>
    <row r="5" spans="1:5" x14ac:dyDescent="0.25">
      <c r="A5" t="s">
        <v>84</v>
      </c>
      <c r="B5">
        <v>4</v>
      </c>
      <c r="C5">
        <v>83.81</v>
      </c>
      <c r="D5">
        <v>2</v>
      </c>
      <c r="E5" t="s">
        <v>85</v>
      </c>
    </row>
    <row r="6" spans="1:5" x14ac:dyDescent="0.25">
      <c r="A6" t="s">
        <v>84</v>
      </c>
      <c r="B6">
        <v>5</v>
      </c>
      <c r="C6">
        <v>93.65</v>
      </c>
      <c r="D6">
        <v>2</v>
      </c>
      <c r="E6" t="s">
        <v>85</v>
      </c>
    </row>
    <row r="7" spans="1:5" x14ac:dyDescent="0.25">
      <c r="A7" t="s">
        <v>84</v>
      </c>
      <c r="B7">
        <v>6</v>
      </c>
      <c r="C7">
        <v>87.33</v>
      </c>
      <c r="D7">
        <v>2</v>
      </c>
      <c r="E7" t="s">
        <v>85</v>
      </c>
    </row>
    <row r="8" spans="1:5" x14ac:dyDescent="0.25">
      <c r="A8" t="s">
        <v>84</v>
      </c>
      <c r="B8">
        <v>7</v>
      </c>
      <c r="C8">
        <v>85.94</v>
      </c>
      <c r="D8">
        <v>2</v>
      </c>
      <c r="E8" t="s">
        <v>85</v>
      </c>
    </row>
    <row r="9" spans="1:5" x14ac:dyDescent="0.25">
      <c r="A9" t="s">
        <v>84</v>
      </c>
      <c r="B9">
        <v>8</v>
      </c>
      <c r="C9">
        <v>85.94</v>
      </c>
      <c r="D9">
        <v>2</v>
      </c>
      <c r="E9" t="s">
        <v>85</v>
      </c>
    </row>
    <row r="10" spans="1:5" x14ac:dyDescent="0.25">
      <c r="A10" t="s">
        <v>84</v>
      </c>
      <c r="B10">
        <v>9</v>
      </c>
      <c r="C10">
        <v>96.07</v>
      </c>
      <c r="D10">
        <v>2</v>
      </c>
      <c r="E10" t="s">
        <v>85</v>
      </c>
    </row>
    <row r="11" spans="1:5" x14ac:dyDescent="0.25">
      <c r="A11" t="s">
        <v>84</v>
      </c>
      <c r="B11">
        <v>10</v>
      </c>
      <c r="C11">
        <v>96.07</v>
      </c>
      <c r="D11">
        <v>2</v>
      </c>
      <c r="E11" t="s">
        <v>85</v>
      </c>
    </row>
    <row r="12" spans="1:5" x14ac:dyDescent="0.25">
      <c r="A12" t="s">
        <v>84</v>
      </c>
      <c r="B12">
        <v>11</v>
      </c>
      <c r="C12">
        <v>94</v>
      </c>
      <c r="D12">
        <v>2</v>
      </c>
      <c r="E12" t="s">
        <v>85</v>
      </c>
    </row>
    <row r="13" spans="1:5" x14ac:dyDescent="0.25">
      <c r="A13" t="s">
        <v>84</v>
      </c>
      <c r="B13">
        <v>12</v>
      </c>
      <c r="C13">
        <v>93.54</v>
      </c>
      <c r="D13">
        <v>2</v>
      </c>
      <c r="E13" t="s">
        <v>85</v>
      </c>
    </row>
    <row r="14" spans="1:5" x14ac:dyDescent="0.25">
      <c r="A14" t="s">
        <v>84</v>
      </c>
      <c r="B14">
        <v>13</v>
      </c>
      <c r="C14">
        <v>97.32</v>
      </c>
      <c r="D14">
        <v>2</v>
      </c>
      <c r="E14" t="s">
        <v>85</v>
      </c>
    </row>
    <row r="15" spans="1:5" x14ac:dyDescent="0.25">
      <c r="A15" t="s">
        <v>84</v>
      </c>
      <c r="B15">
        <v>14</v>
      </c>
      <c r="C15">
        <v>97.32</v>
      </c>
      <c r="D15">
        <v>2</v>
      </c>
      <c r="E15" t="s">
        <v>85</v>
      </c>
    </row>
    <row r="16" spans="1:5" x14ac:dyDescent="0.25">
      <c r="A16" t="s">
        <v>84</v>
      </c>
      <c r="B16">
        <v>15</v>
      </c>
      <c r="C16">
        <v>97.32</v>
      </c>
      <c r="D16">
        <v>2</v>
      </c>
      <c r="E16" t="s">
        <v>85</v>
      </c>
    </row>
    <row r="17" spans="1:5" x14ac:dyDescent="0.25">
      <c r="A17" t="s">
        <v>84</v>
      </c>
      <c r="B17">
        <v>16</v>
      </c>
      <c r="C17">
        <v>97.32</v>
      </c>
      <c r="D17">
        <v>2</v>
      </c>
      <c r="E17" t="s">
        <v>85</v>
      </c>
    </row>
    <row r="18" spans="1:5" x14ac:dyDescent="0.25">
      <c r="A18" t="s">
        <v>84</v>
      </c>
      <c r="B18">
        <v>17</v>
      </c>
      <c r="C18">
        <v>99.9</v>
      </c>
      <c r="D18">
        <v>0.1</v>
      </c>
      <c r="E18" t="s">
        <v>85</v>
      </c>
    </row>
    <row r="19" spans="1:5" x14ac:dyDescent="0.25">
      <c r="A19" t="s">
        <v>84</v>
      </c>
      <c r="B19">
        <v>18</v>
      </c>
      <c r="C19">
        <v>100</v>
      </c>
      <c r="D19">
        <v>0.1</v>
      </c>
      <c r="E19" t="s">
        <v>85</v>
      </c>
    </row>
    <row r="20" spans="1:5" x14ac:dyDescent="0.25">
      <c r="A20" t="s">
        <v>84</v>
      </c>
      <c r="B20">
        <v>19</v>
      </c>
      <c r="C20">
        <v>99.9</v>
      </c>
      <c r="D20">
        <v>0.1</v>
      </c>
      <c r="E20" t="s">
        <v>85</v>
      </c>
    </row>
    <row r="21" spans="1:5" x14ac:dyDescent="0.25">
      <c r="A21" t="s">
        <v>84</v>
      </c>
      <c r="B21">
        <v>20</v>
      </c>
      <c r="C21">
        <v>99.9</v>
      </c>
      <c r="D21">
        <v>0.1</v>
      </c>
      <c r="E21" t="s">
        <v>85</v>
      </c>
    </row>
    <row r="22" spans="1:5" x14ac:dyDescent="0.25">
      <c r="A22" t="s">
        <v>84</v>
      </c>
      <c r="B22">
        <v>21</v>
      </c>
      <c r="C22">
        <v>88</v>
      </c>
      <c r="D22">
        <v>2</v>
      </c>
      <c r="E22" t="s">
        <v>85</v>
      </c>
    </row>
    <row r="23" spans="1:5" x14ac:dyDescent="0.25">
      <c r="A23" t="s">
        <v>84</v>
      </c>
      <c r="B23">
        <v>22</v>
      </c>
      <c r="C23">
        <v>94</v>
      </c>
      <c r="D23">
        <v>2</v>
      </c>
      <c r="E23" t="s">
        <v>85</v>
      </c>
    </row>
    <row r="24" spans="1:5" x14ac:dyDescent="0.25">
      <c r="A24" t="s">
        <v>84</v>
      </c>
      <c r="B24">
        <v>23</v>
      </c>
      <c r="C24">
        <v>94</v>
      </c>
      <c r="D24">
        <v>2</v>
      </c>
      <c r="E24" t="s">
        <v>85</v>
      </c>
    </row>
    <row r="25" spans="1:5" x14ac:dyDescent="0.25">
      <c r="A25" t="s">
        <v>84</v>
      </c>
      <c r="B25">
        <v>24</v>
      </c>
      <c r="C25">
        <v>94</v>
      </c>
      <c r="D25">
        <v>2</v>
      </c>
      <c r="E25" t="s">
        <v>85</v>
      </c>
    </row>
    <row r="26" spans="1:5" x14ac:dyDescent="0.25">
      <c r="A26" t="s">
        <v>84</v>
      </c>
      <c r="B26">
        <v>25</v>
      </c>
      <c r="C26">
        <v>97.32</v>
      </c>
      <c r="D26">
        <v>2</v>
      </c>
      <c r="E26" t="s">
        <v>85</v>
      </c>
    </row>
    <row r="27" spans="1:5" x14ac:dyDescent="0.25">
      <c r="A27" t="s">
        <v>84</v>
      </c>
      <c r="B27">
        <v>26</v>
      </c>
      <c r="C27">
        <v>103.56</v>
      </c>
      <c r="D27">
        <v>2</v>
      </c>
      <c r="E27" t="s">
        <v>85</v>
      </c>
    </row>
    <row r="28" spans="1:5" x14ac:dyDescent="0.25">
      <c r="A28" t="s">
        <v>84</v>
      </c>
      <c r="B28">
        <v>27</v>
      </c>
      <c r="C28">
        <v>115.61</v>
      </c>
      <c r="D28">
        <v>2</v>
      </c>
      <c r="E28" t="s">
        <v>85</v>
      </c>
    </row>
    <row r="29" spans="1:5" x14ac:dyDescent="0.25">
      <c r="A29" t="s">
        <v>84</v>
      </c>
      <c r="B29">
        <v>28</v>
      </c>
      <c r="C29">
        <v>118</v>
      </c>
      <c r="D29">
        <v>2</v>
      </c>
      <c r="E29" t="s">
        <v>85</v>
      </c>
    </row>
    <row r="30" spans="1:5" x14ac:dyDescent="0.25">
      <c r="A30" t="s">
        <v>84</v>
      </c>
      <c r="B30">
        <v>29</v>
      </c>
      <c r="C30">
        <v>130.16999999999999</v>
      </c>
      <c r="D30">
        <v>2</v>
      </c>
      <c r="E30" t="s">
        <v>85</v>
      </c>
    </row>
    <row r="31" spans="1:5" x14ac:dyDescent="0.25">
      <c r="A31" t="s">
        <v>84</v>
      </c>
      <c r="B31">
        <v>30</v>
      </c>
      <c r="C31">
        <v>130.16999999999999</v>
      </c>
      <c r="D31">
        <v>2</v>
      </c>
      <c r="E31" t="s">
        <v>85</v>
      </c>
    </row>
    <row r="32" spans="1:5" x14ac:dyDescent="0.25">
      <c r="A32" t="s">
        <v>84</v>
      </c>
      <c r="B32">
        <v>31</v>
      </c>
      <c r="C32">
        <v>143.1</v>
      </c>
      <c r="D32">
        <v>2</v>
      </c>
      <c r="E32" t="s">
        <v>85</v>
      </c>
    </row>
    <row r="33" spans="1:5" x14ac:dyDescent="0.25">
      <c r="A33" t="s">
        <v>84</v>
      </c>
      <c r="B33">
        <v>32</v>
      </c>
      <c r="C33">
        <v>147.69</v>
      </c>
      <c r="D33">
        <v>0.1</v>
      </c>
      <c r="E33" t="s">
        <v>85</v>
      </c>
    </row>
    <row r="34" spans="1:5" x14ac:dyDescent="0.25">
      <c r="A34" t="s">
        <v>84</v>
      </c>
      <c r="B34">
        <v>33</v>
      </c>
      <c r="C34">
        <v>148</v>
      </c>
      <c r="D34">
        <v>0.1</v>
      </c>
      <c r="E34" t="s">
        <v>85</v>
      </c>
    </row>
    <row r="35" spans="1:5" x14ac:dyDescent="0.25">
      <c r="A35" t="s">
        <v>84</v>
      </c>
      <c r="B35">
        <v>34</v>
      </c>
      <c r="C35">
        <v>145</v>
      </c>
      <c r="D35">
        <v>2</v>
      </c>
      <c r="E35" t="s">
        <v>85</v>
      </c>
    </row>
    <row r="36" spans="1:5" x14ac:dyDescent="0.25">
      <c r="A36" t="s">
        <v>84</v>
      </c>
      <c r="B36">
        <v>35</v>
      </c>
      <c r="C36">
        <v>136.5</v>
      </c>
      <c r="D36">
        <v>2</v>
      </c>
      <c r="E36" t="s">
        <v>85</v>
      </c>
    </row>
    <row r="37" spans="1:5" x14ac:dyDescent="0.25">
      <c r="A37" t="s">
        <v>84</v>
      </c>
      <c r="B37">
        <v>36</v>
      </c>
      <c r="C37">
        <v>127</v>
      </c>
      <c r="D37">
        <v>2</v>
      </c>
      <c r="E37" t="s">
        <v>85</v>
      </c>
    </row>
    <row r="38" spans="1:5" x14ac:dyDescent="0.25">
      <c r="A38" t="s">
        <v>84</v>
      </c>
      <c r="B38">
        <v>37</v>
      </c>
      <c r="C38">
        <v>139.88999999999999</v>
      </c>
      <c r="D38">
        <v>0.1</v>
      </c>
      <c r="E38" t="s">
        <v>85</v>
      </c>
    </row>
    <row r="39" spans="1:5" x14ac:dyDescent="0.25">
      <c r="A39" t="s">
        <v>84</v>
      </c>
      <c r="B39">
        <v>38</v>
      </c>
      <c r="C39">
        <v>145.19</v>
      </c>
      <c r="D39">
        <v>0.1</v>
      </c>
      <c r="E39" t="s">
        <v>85</v>
      </c>
    </row>
    <row r="40" spans="1:5" x14ac:dyDescent="0.25">
      <c r="A40" t="s">
        <v>84</v>
      </c>
      <c r="B40">
        <v>39</v>
      </c>
      <c r="C40">
        <v>122</v>
      </c>
      <c r="D40">
        <v>2</v>
      </c>
      <c r="E40" t="s">
        <v>85</v>
      </c>
    </row>
    <row r="41" spans="1:5" x14ac:dyDescent="0.25">
      <c r="A41" t="s">
        <v>84</v>
      </c>
      <c r="B41">
        <v>40</v>
      </c>
      <c r="C41">
        <v>114.48</v>
      </c>
      <c r="D41">
        <v>2</v>
      </c>
      <c r="E41" t="s">
        <v>85</v>
      </c>
    </row>
    <row r="42" spans="1:5" x14ac:dyDescent="0.25">
      <c r="A42" t="s">
        <v>84</v>
      </c>
      <c r="B42">
        <v>41</v>
      </c>
      <c r="C42">
        <v>115.6</v>
      </c>
      <c r="D42">
        <v>0.1</v>
      </c>
      <c r="E42" t="s">
        <v>85</v>
      </c>
    </row>
    <row r="43" spans="1:5" x14ac:dyDescent="0.25">
      <c r="A43" t="s">
        <v>84</v>
      </c>
      <c r="B43">
        <v>42</v>
      </c>
      <c r="C43">
        <v>114.48</v>
      </c>
      <c r="D43">
        <v>0.1</v>
      </c>
      <c r="E43" t="s">
        <v>85</v>
      </c>
    </row>
    <row r="44" spans="1:5" x14ac:dyDescent="0.25">
      <c r="A44" t="s">
        <v>84</v>
      </c>
      <c r="B44">
        <v>43</v>
      </c>
      <c r="C44">
        <v>110</v>
      </c>
      <c r="D44">
        <v>2</v>
      </c>
      <c r="E44" t="s">
        <v>85</v>
      </c>
    </row>
    <row r="45" spans="1:5" x14ac:dyDescent="0.25">
      <c r="A45" t="s">
        <v>84</v>
      </c>
      <c r="B45">
        <v>44</v>
      </c>
      <c r="C45">
        <v>105</v>
      </c>
      <c r="D45">
        <v>2</v>
      </c>
      <c r="E45" t="s">
        <v>85</v>
      </c>
    </row>
    <row r="46" spans="1:5" x14ac:dyDescent="0.25">
      <c r="A46" t="s">
        <v>84</v>
      </c>
      <c r="B46">
        <v>45</v>
      </c>
      <c r="C46">
        <v>114.48</v>
      </c>
      <c r="D46">
        <v>2</v>
      </c>
      <c r="E46" t="s">
        <v>85</v>
      </c>
    </row>
    <row r="47" spans="1:5" x14ac:dyDescent="0.25">
      <c r="A47" t="s">
        <v>84</v>
      </c>
      <c r="B47">
        <v>46</v>
      </c>
      <c r="C47">
        <v>113.14</v>
      </c>
      <c r="D47">
        <v>2</v>
      </c>
      <c r="E47" t="s">
        <v>85</v>
      </c>
    </row>
    <row r="48" spans="1:5" x14ac:dyDescent="0.25">
      <c r="A48" t="s">
        <v>84</v>
      </c>
      <c r="B48">
        <v>47</v>
      </c>
      <c r="C48">
        <v>108.95</v>
      </c>
      <c r="D48">
        <v>2</v>
      </c>
      <c r="E48" t="s">
        <v>85</v>
      </c>
    </row>
    <row r="49" spans="1:5" x14ac:dyDescent="0.25">
      <c r="A49" t="s">
        <v>84</v>
      </c>
      <c r="B49">
        <v>48</v>
      </c>
      <c r="C49">
        <v>99.54</v>
      </c>
      <c r="D49">
        <v>2</v>
      </c>
      <c r="E49" t="s">
        <v>85</v>
      </c>
    </row>
    <row r="50" spans="1:5" x14ac:dyDescent="0.25">
      <c r="A50" t="s">
        <v>84</v>
      </c>
      <c r="B50">
        <v>49</v>
      </c>
      <c r="C50">
        <v>101</v>
      </c>
      <c r="D50">
        <v>2</v>
      </c>
      <c r="E50" t="s">
        <v>85</v>
      </c>
    </row>
    <row r="51" spans="1:5" x14ac:dyDescent="0.25">
      <c r="A51" t="s">
        <v>84</v>
      </c>
      <c r="B51">
        <v>50</v>
      </c>
      <c r="C51">
        <v>100.88</v>
      </c>
      <c r="D51">
        <v>2</v>
      </c>
      <c r="E51" t="s">
        <v>85</v>
      </c>
    </row>
    <row r="52" spans="1:5" x14ac:dyDescent="0.25">
      <c r="A52" t="s">
        <v>84</v>
      </c>
      <c r="B52">
        <v>51</v>
      </c>
      <c r="C52">
        <v>100.48</v>
      </c>
      <c r="D52">
        <v>2</v>
      </c>
      <c r="E52" t="s">
        <v>85</v>
      </c>
    </row>
    <row r="53" spans="1:5" x14ac:dyDescent="0.25">
      <c r="A53" t="s">
        <v>84</v>
      </c>
      <c r="B53">
        <v>52</v>
      </c>
      <c r="C53">
        <v>100.48</v>
      </c>
      <c r="D53">
        <v>2</v>
      </c>
      <c r="E53" t="s">
        <v>85</v>
      </c>
    </row>
    <row r="54" spans="1:5" x14ac:dyDescent="0.25">
      <c r="A54" t="s">
        <v>84</v>
      </c>
      <c r="B54">
        <v>53</v>
      </c>
      <c r="C54">
        <v>99.18</v>
      </c>
      <c r="D54">
        <v>2</v>
      </c>
      <c r="E54" t="s">
        <v>85</v>
      </c>
    </row>
    <row r="55" spans="1:5" x14ac:dyDescent="0.25">
      <c r="A55" t="s">
        <v>84</v>
      </c>
      <c r="B55">
        <v>54</v>
      </c>
      <c r="C55">
        <v>100.49</v>
      </c>
      <c r="D55">
        <v>2</v>
      </c>
      <c r="E55" t="s">
        <v>85</v>
      </c>
    </row>
    <row r="56" spans="1:5" x14ac:dyDescent="0.25">
      <c r="A56" t="s">
        <v>84</v>
      </c>
      <c r="B56">
        <v>55</v>
      </c>
      <c r="C56">
        <v>101.62</v>
      </c>
      <c r="D56">
        <v>0.1</v>
      </c>
      <c r="E56" t="s">
        <v>85</v>
      </c>
    </row>
    <row r="57" spans="1:5" x14ac:dyDescent="0.25">
      <c r="A57" t="s">
        <v>84</v>
      </c>
      <c r="B57">
        <v>56</v>
      </c>
      <c r="C57">
        <v>101.62</v>
      </c>
      <c r="D57">
        <v>0.1</v>
      </c>
      <c r="E57" t="s">
        <v>85</v>
      </c>
    </row>
    <row r="58" spans="1:5" x14ac:dyDescent="0.25">
      <c r="A58" t="s">
        <v>84</v>
      </c>
      <c r="B58">
        <v>57</v>
      </c>
      <c r="C58">
        <v>99.15</v>
      </c>
      <c r="D58">
        <v>2</v>
      </c>
      <c r="E58" t="s">
        <v>85</v>
      </c>
    </row>
    <row r="59" spans="1:5" x14ac:dyDescent="0.25">
      <c r="A59" t="s">
        <v>84</v>
      </c>
      <c r="B59">
        <v>58</v>
      </c>
      <c r="C59">
        <v>98.1</v>
      </c>
      <c r="D59">
        <v>2</v>
      </c>
      <c r="E59" t="s">
        <v>85</v>
      </c>
    </row>
    <row r="60" spans="1:5" x14ac:dyDescent="0.25">
      <c r="A60" t="s">
        <v>84</v>
      </c>
      <c r="B60">
        <v>59</v>
      </c>
      <c r="C60">
        <v>98.6</v>
      </c>
      <c r="D60">
        <v>2</v>
      </c>
      <c r="E60" t="s">
        <v>85</v>
      </c>
    </row>
    <row r="61" spans="1:5" x14ac:dyDescent="0.25">
      <c r="A61" t="s">
        <v>84</v>
      </c>
      <c r="B61">
        <v>60</v>
      </c>
      <c r="C61">
        <v>99.15</v>
      </c>
      <c r="D61">
        <v>2</v>
      </c>
      <c r="E61" t="s">
        <v>85</v>
      </c>
    </row>
    <row r="62" spans="1:5" x14ac:dyDescent="0.25">
      <c r="A62" t="s">
        <v>84</v>
      </c>
      <c r="B62">
        <v>61</v>
      </c>
      <c r="C62">
        <v>99.77</v>
      </c>
      <c r="D62">
        <v>2</v>
      </c>
      <c r="E62" t="s">
        <v>85</v>
      </c>
    </row>
    <row r="63" spans="1:5" x14ac:dyDescent="0.25">
      <c r="A63" t="s">
        <v>84</v>
      </c>
      <c r="B63">
        <v>62</v>
      </c>
      <c r="C63">
        <v>101.8</v>
      </c>
      <c r="D63">
        <v>2</v>
      </c>
      <c r="E63" t="s">
        <v>85</v>
      </c>
    </row>
    <row r="64" spans="1:5" x14ac:dyDescent="0.25">
      <c r="A64" t="s">
        <v>84</v>
      </c>
      <c r="B64">
        <v>63</v>
      </c>
      <c r="C64">
        <v>107</v>
      </c>
      <c r="D64">
        <v>2</v>
      </c>
      <c r="E64" t="s">
        <v>85</v>
      </c>
    </row>
    <row r="65" spans="1:5" x14ac:dyDescent="0.25">
      <c r="A65" t="s">
        <v>84</v>
      </c>
      <c r="B65">
        <v>64</v>
      </c>
      <c r="C65">
        <v>108.56</v>
      </c>
      <c r="D65">
        <v>2</v>
      </c>
      <c r="E65" t="s">
        <v>85</v>
      </c>
    </row>
    <row r="66" spans="1:5" x14ac:dyDescent="0.25">
      <c r="A66" t="s">
        <v>84</v>
      </c>
      <c r="B66">
        <v>65</v>
      </c>
      <c r="C66">
        <v>103.37</v>
      </c>
      <c r="D66">
        <v>2</v>
      </c>
      <c r="E66" t="s">
        <v>85</v>
      </c>
    </row>
    <row r="67" spans="1:5" x14ac:dyDescent="0.25">
      <c r="A67" t="s">
        <v>84</v>
      </c>
      <c r="B67">
        <v>66</v>
      </c>
      <c r="C67">
        <v>108</v>
      </c>
      <c r="D67">
        <v>2</v>
      </c>
      <c r="E67" t="s">
        <v>85</v>
      </c>
    </row>
    <row r="68" spans="1:5" x14ac:dyDescent="0.25">
      <c r="A68" t="s">
        <v>84</v>
      </c>
      <c r="B68">
        <v>67</v>
      </c>
      <c r="C68">
        <v>113.87</v>
      </c>
      <c r="D68">
        <v>2</v>
      </c>
      <c r="E68" t="s">
        <v>85</v>
      </c>
    </row>
    <row r="69" spans="1:5" x14ac:dyDescent="0.25">
      <c r="A69" t="s">
        <v>84</v>
      </c>
      <c r="B69">
        <v>68</v>
      </c>
      <c r="C69">
        <v>118</v>
      </c>
      <c r="D69">
        <v>2</v>
      </c>
      <c r="E69" t="s">
        <v>85</v>
      </c>
    </row>
    <row r="70" spans="1:5" x14ac:dyDescent="0.25">
      <c r="A70" t="s">
        <v>84</v>
      </c>
      <c r="B70">
        <v>69</v>
      </c>
      <c r="C70">
        <v>112</v>
      </c>
      <c r="D70">
        <v>2</v>
      </c>
      <c r="E70" t="s">
        <v>85</v>
      </c>
    </row>
    <row r="71" spans="1:5" x14ac:dyDescent="0.25">
      <c r="A71" t="s">
        <v>84</v>
      </c>
      <c r="B71">
        <v>70</v>
      </c>
      <c r="C71">
        <v>115.9</v>
      </c>
      <c r="D71">
        <v>2</v>
      </c>
      <c r="E71" t="s">
        <v>85</v>
      </c>
    </row>
    <row r="72" spans="1:5" x14ac:dyDescent="0.25">
      <c r="A72" t="s">
        <v>84</v>
      </c>
      <c r="B72">
        <v>71</v>
      </c>
      <c r="C72">
        <v>128</v>
      </c>
      <c r="D72">
        <v>0.1</v>
      </c>
      <c r="E72" t="s">
        <v>85</v>
      </c>
    </row>
    <row r="73" spans="1:5" x14ac:dyDescent="0.25">
      <c r="A73" t="s">
        <v>84</v>
      </c>
      <c r="B73">
        <v>72</v>
      </c>
      <c r="C73">
        <v>139.56</v>
      </c>
      <c r="D73">
        <v>0.1</v>
      </c>
      <c r="E73" t="s">
        <v>85</v>
      </c>
    </row>
    <row r="74" spans="1:5" x14ac:dyDescent="0.25">
      <c r="A74" t="s">
        <v>84</v>
      </c>
      <c r="B74">
        <v>73</v>
      </c>
      <c r="C74">
        <v>120.5</v>
      </c>
      <c r="D74">
        <v>2</v>
      </c>
      <c r="E74" t="s">
        <v>85</v>
      </c>
    </row>
    <row r="75" spans="1:5" x14ac:dyDescent="0.25">
      <c r="A75" t="s">
        <v>84</v>
      </c>
      <c r="B75">
        <v>74</v>
      </c>
      <c r="C75">
        <v>123</v>
      </c>
      <c r="D75">
        <v>2</v>
      </c>
      <c r="E75" t="s">
        <v>85</v>
      </c>
    </row>
    <row r="76" spans="1:5" x14ac:dyDescent="0.25">
      <c r="A76" t="s">
        <v>84</v>
      </c>
      <c r="B76">
        <v>75</v>
      </c>
      <c r="C76">
        <v>131.35</v>
      </c>
      <c r="D76">
        <v>0.1</v>
      </c>
      <c r="E76" t="s">
        <v>85</v>
      </c>
    </row>
    <row r="77" spans="1:5" x14ac:dyDescent="0.25">
      <c r="A77" t="s">
        <v>84</v>
      </c>
      <c r="B77">
        <v>76</v>
      </c>
      <c r="C77">
        <v>140</v>
      </c>
      <c r="D77">
        <v>0.1</v>
      </c>
      <c r="E77" t="s">
        <v>85</v>
      </c>
    </row>
    <row r="78" spans="1:5" x14ac:dyDescent="0.25">
      <c r="A78" t="s">
        <v>84</v>
      </c>
      <c r="B78">
        <v>77</v>
      </c>
      <c r="C78">
        <v>128.88</v>
      </c>
      <c r="D78">
        <v>2</v>
      </c>
      <c r="E78" t="s">
        <v>85</v>
      </c>
    </row>
    <row r="79" spans="1:5" x14ac:dyDescent="0.25">
      <c r="A79" t="s">
        <v>84</v>
      </c>
      <c r="B79">
        <v>78</v>
      </c>
      <c r="C79">
        <v>141.74</v>
      </c>
      <c r="D79">
        <v>2</v>
      </c>
      <c r="E79" t="s">
        <v>85</v>
      </c>
    </row>
    <row r="80" spans="1:5" x14ac:dyDescent="0.25">
      <c r="A80" t="s">
        <v>84</v>
      </c>
      <c r="B80">
        <v>79</v>
      </c>
      <c r="C80">
        <v>165.74</v>
      </c>
      <c r="D80">
        <v>2</v>
      </c>
      <c r="E80" t="s">
        <v>85</v>
      </c>
    </row>
    <row r="81" spans="1:5" x14ac:dyDescent="0.25">
      <c r="A81" t="s">
        <v>84</v>
      </c>
      <c r="B81">
        <v>80</v>
      </c>
      <c r="C81">
        <v>167.24</v>
      </c>
      <c r="D81">
        <v>2</v>
      </c>
      <c r="E81" t="s">
        <v>85</v>
      </c>
    </row>
    <row r="82" spans="1:5" x14ac:dyDescent="0.25">
      <c r="A82" t="s">
        <v>84</v>
      </c>
      <c r="B82">
        <v>81</v>
      </c>
      <c r="C82">
        <v>155.82</v>
      </c>
      <c r="D82">
        <v>0.1</v>
      </c>
      <c r="E82" t="s">
        <v>85</v>
      </c>
    </row>
    <row r="83" spans="1:5" x14ac:dyDescent="0.25">
      <c r="A83" t="s">
        <v>84</v>
      </c>
      <c r="B83">
        <v>82</v>
      </c>
      <c r="C83">
        <v>139.1</v>
      </c>
      <c r="D83">
        <v>2</v>
      </c>
      <c r="E83" t="s">
        <v>85</v>
      </c>
    </row>
    <row r="84" spans="1:5" x14ac:dyDescent="0.25">
      <c r="A84" t="s">
        <v>84</v>
      </c>
      <c r="B84">
        <v>83</v>
      </c>
      <c r="C84">
        <v>128</v>
      </c>
      <c r="D84">
        <v>2</v>
      </c>
      <c r="E84" t="s">
        <v>85</v>
      </c>
    </row>
    <row r="85" spans="1:5" x14ac:dyDescent="0.25">
      <c r="A85" t="s">
        <v>84</v>
      </c>
      <c r="B85">
        <v>84</v>
      </c>
      <c r="C85">
        <v>125.09</v>
      </c>
      <c r="D85">
        <v>2</v>
      </c>
      <c r="E85" t="s">
        <v>85</v>
      </c>
    </row>
    <row r="86" spans="1:5" x14ac:dyDescent="0.25">
      <c r="A86" t="s">
        <v>84</v>
      </c>
      <c r="B86">
        <v>85</v>
      </c>
      <c r="C86">
        <v>117</v>
      </c>
      <c r="D86">
        <v>0.1</v>
      </c>
      <c r="E86" t="s">
        <v>85</v>
      </c>
    </row>
    <row r="87" spans="1:5" x14ac:dyDescent="0.25">
      <c r="A87" t="s">
        <v>84</v>
      </c>
      <c r="B87">
        <v>86</v>
      </c>
      <c r="C87">
        <v>112.52</v>
      </c>
      <c r="D87">
        <v>2</v>
      </c>
      <c r="E87" t="s">
        <v>85</v>
      </c>
    </row>
    <row r="88" spans="1:5" x14ac:dyDescent="0.25">
      <c r="A88" t="s">
        <v>84</v>
      </c>
      <c r="B88">
        <v>87</v>
      </c>
      <c r="C88">
        <v>103</v>
      </c>
      <c r="D88">
        <v>2</v>
      </c>
      <c r="E88" t="s">
        <v>85</v>
      </c>
    </row>
    <row r="89" spans="1:5" x14ac:dyDescent="0.25">
      <c r="A89" t="s">
        <v>84</v>
      </c>
      <c r="B89">
        <v>88</v>
      </c>
      <c r="C89">
        <v>100.67</v>
      </c>
      <c r="D89">
        <v>2</v>
      </c>
      <c r="E89" t="s">
        <v>85</v>
      </c>
    </row>
    <row r="90" spans="1:5" x14ac:dyDescent="0.25">
      <c r="A90" t="s">
        <v>84</v>
      </c>
      <c r="B90">
        <v>89</v>
      </c>
      <c r="C90">
        <v>101</v>
      </c>
      <c r="D90">
        <v>2</v>
      </c>
      <c r="E90" t="s">
        <v>85</v>
      </c>
    </row>
    <row r="91" spans="1:5" x14ac:dyDescent="0.25">
      <c r="A91" t="s">
        <v>84</v>
      </c>
      <c r="B91">
        <v>90</v>
      </c>
      <c r="C91">
        <v>100.84</v>
      </c>
      <c r="D91">
        <v>2</v>
      </c>
      <c r="E91" t="s">
        <v>85</v>
      </c>
    </row>
    <row r="92" spans="1:5" x14ac:dyDescent="0.25">
      <c r="A92" t="s">
        <v>84</v>
      </c>
      <c r="B92">
        <v>91</v>
      </c>
      <c r="C92">
        <v>98.66</v>
      </c>
      <c r="D92">
        <v>2</v>
      </c>
      <c r="E92" t="s">
        <v>85</v>
      </c>
    </row>
    <row r="93" spans="1:5" x14ac:dyDescent="0.25">
      <c r="A93" t="s">
        <v>84</v>
      </c>
      <c r="B93">
        <v>92</v>
      </c>
      <c r="C93">
        <v>98.66</v>
      </c>
      <c r="D93">
        <v>2</v>
      </c>
      <c r="E93" t="s">
        <v>85</v>
      </c>
    </row>
    <row r="94" spans="1:5" x14ac:dyDescent="0.25">
      <c r="A94" t="s">
        <v>84</v>
      </c>
      <c r="B94">
        <v>93</v>
      </c>
      <c r="C94">
        <v>103.76</v>
      </c>
      <c r="D94">
        <v>2</v>
      </c>
      <c r="E94" t="s">
        <v>85</v>
      </c>
    </row>
    <row r="95" spans="1:5" x14ac:dyDescent="0.25">
      <c r="A95" t="s">
        <v>84</v>
      </c>
      <c r="B95">
        <v>94</v>
      </c>
      <c r="C95">
        <v>101</v>
      </c>
      <c r="D95">
        <v>2</v>
      </c>
      <c r="E95" t="s">
        <v>85</v>
      </c>
    </row>
    <row r="96" spans="1:5" x14ac:dyDescent="0.25">
      <c r="A96" t="s">
        <v>84</v>
      </c>
      <c r="B96">
        <v>95</v>
      </c>
      <c r="C96">
        <v>98</v>
      </c>
      <c r="D96">
        <v>2</v>
      </c>
      <c r="E96" t="s">
        <v>85</v>
      </c>
    </row>
    <row r="97" spans="1:5" x14ac:dyDescent="0.25">
      <c r="A97" t="s">
        <v>84</v>
      </c>
      <c r="B97">
        <v>96</v>
      </c>
      <c r="C97">
        <v>93.92</v>
      </c>
      <c r="D97">
        <v>2</v>
      </c>
      <c r="E97" t="s">
        <v>85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3"/>
  <dimension ref="A1:E97"/>
  <sheetViews>
    <sheetView workbookViewId="0">
      <selection sqref="A1:E97"/>
    </sheetView>
  </sheetViews>
  <sheetFormatPr defaultRowHeight="15" x14ac:dyDescent="0.25"/>
  <sheetData>
    <row r="1" spans="1:5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</row>
    <row r="2" spans="1:5" x14ac:dyDescent="0.25">
      <c r="A2" t="s">
        <v>84</v>
      </c>
      <c r="B2">
        <v>1</v>
      </c>
      <c r="C2">
        <v>83.81</v>
      </c>
      <c r="D2">
        <v>2</v>
      </c>
      <c r="E2" t="s">
        <v>85</v>
      </c>
    </row>
    <row r="3" spans="1:5" x14ac:dyDescent="0.25">
      <c r="A3" t="s">
        <v>84</v>
      </c>
      <c r="B3">
        <v>2</v>
      </c>
      <c r="C3">
        <v>95.24</v>
      </c>
      <c r="D3">
        <v>2</v>
      </c>
      <c r="E3" t="s">
        <v>85</v>
      </c>
    </row>
    <row r="4" spans="1:5" x14ac:dyDescent="0.25">
      <c r="A4" t="s">
        <v>84</v>
      </c>
      <c r="B4">
        <v>3</v>
      </c>
      <c r="C4">
        <v>88</v>
      </c>
      <c r="D4">
        <v>2</v>
      </c>
      <c r="E4" t="s">
        <v>85</v>
      </c>
    </row>
    <row r="5" spans="1:5" x14ac:dyDescent="0.25">
      <c r="A5" t="s">
        <v>84</v>
      </c>
      <c r="B5">
        <v>4</v>
      </c>
      <c r="C5">
        <v>83.81</v>
      </c>
      <c r="D5">
        <v>2</v>
      </c>
      <c r="E5" t="s">
        <v>85</v>
      </c>
    </row>
    <row r="6" spans="1:5" x14ac:dyDescent="0.25">
      <c r="A6" t="s">
        <v>84</v>
      </c>
      <c r="B6">
        <v>5</v>
      </c>
      <c r="C6">
        <v>93.65</v>
      </c>
      <c r="D6">
        <v>2</v>
      </c>
      <c r="E6" t="s">
        <v>85</v>
      </c>
    </row>
    <row r="7" spans="1:5" x14ac:dyDescent="0.25">
      <c r="A7" t="s">
        <v>84</v>
      </c>
      <c r="B7">
        <v>6</v>
      </c>
      <c r="C7">
        <v>87.33</v>
      </c>
      <c r="D7">
        <v>2</v>
      </c>
      <c r="E7" t="s">
        <v>85</v>
      </c>
    </row>
    <row r="8" spans="1:5" x14ac:dyDescent="0.25">
      <c r="A8" t="s">
        <v>84</v>
      </c>
      <c r="B8">
        <v>7</v>
      </c>
      <c r="C8">
        <v>85.94</v>
      </c>
      <c r="D8">
        <v>2</v>
      </c>
      <c r="E8" t="s">
        <v>85</v>
      </c>
    </row>
    <row r="9" spans="1:5" x14ac:dyDescent="0.25">
      <c r="A9" t="s">
        <v>84</v>
      </c>
      <c r="B9">
        <v>8</v>
      </c>
      <c r="C9">
        <v>85.94</v>
      </c>
      <c r="D9">
        <v>2</v>
      </c>
      <c r="E9" t="s">
        <v>85</v>
      </c>
    </row>
    <row r="10" spans="1:5" x14ac:dyDescent="0.25">
      <c r="A10" t="s">
        <v>84</v>
      </c>
      <c r="B10">
        <v>9</v>
      </c>
      <c r="C10">
        <v>96.07</v>
      </c>
      <c r="D10">
        <v>2</v>
      </c>
      <c r="E10" t="s">
        <v>85</v>
      </c>
    </row>
    <row r="11" spans="1:5" x14ac:dyDescent="0.25">
      <c r="A11" t="s">
        <v>84</v>
      </c>
      <c r="B11">
        <v>10</v>
      </c>
      <c r="C11">
        <v>96.07</v>
      </c>
      <c r="D11">
        <v>2</v>
      </c>
      <c r="E11" t="s">
        <v>85</v>
      </c>
    </row>
    <row r="12" spans="1:5" x14ac:dyDescent="0.25">
      <c r="A12" t="s">
        <v>84</v>
      </c>
      <c r="B12">
        <v>11</v>
      </c>
      <c r="C12">
        <v>94</v>
      </c>
      <c r="D12">
        <v>2</v>
      </c>
      <c r="E12" t="s">
        <v>85</v>
      </c>
    </row>
    <row r="13" spans="1:5" x14ac:dyDescent="0.25">
      <c r="A13" t="s">
        <v>84</v>
      </c>
      <c r="B13">
        <v>12</v>
      </c>
      <c r="C13">
        <v>93.54</v>
      </c>
      <c r="D13">
        <v>2</v>
      </c>
      <c r="E13" t="s">
        <v>85</v>
      </c>
    </row>
    <row r="14" spans="1:5" x14ac:dyDescent="0.25">
      <c r="A14" t="s">
        <v>84</v>
      </c>
      <c r="B14">
        <v>13</v>
      </c>
      <c r="C14">
        <v>97.32</v>
      </c>
      <c r="D14">
        <v>2</v>
      </c>
      <c r="E14" t="s">
        <v>85</v>
      </c>
    </row>
    <row r="15" spans="1:5" x14ac:dyDescent="0.25">
      <c r="A15" t="s">
        <v>84</v>
      </c>
      <c r="B15">
        <v>14</v>
      </c>
      <c r="C15">
        <v>97.32</v>
      </c>
      <c r="D15">
        <v>2</v>
      </c>
      <c r="E15" t="s">
        <v>85</v>
      </c>
    </row>
    <row r="16" spans="1:5" x14ac:dyDescent="0.25">
      <c r="A16" t="s">
        <v>84</v>
      </c>
      <c r="B16">
        <v>15</v>
      </c>
      <c r="C16">
        <v>97.32</v>
      </c>
      <c r="D16">
        <v>2</v>
      </c>
      <c r="E16" t="s">
        <v>85</v>
      </c>
    </row>
    <row r="17" spans="1:5" x14ac:dyDescent="0.25">
      <c r="A17" t="s">
        <v>84</v>
      </c>
      <c r="B17">
        <v>16</v>
      </c>
      <c r="C17">
        <v>97.32</v>
      </c>
      <c r="D17">
        <v>2</v>
      </c>
      <c r="E17" t="s">
        <v>85</v>
      </c>
    </row>
    <row r="18" spans="1:5" x14ac:dyDescent="0.25">
      <c r="A18" t="s">
        <v>84</v>
      </c>
      <c r="B18">
        <v>17</v>
      </c>
      <c r="C18">
        <v>99.9</v>
      </c>
      <c r="D18">
        <v>0.1</v>
      </c>
      <c r="E18" t="s">
        <v>85</v>
      </c>
    </row>
    <row r="19" spans="1:5" x14ac:dyDescent="0.25">
      <c r="A19" t="s">
        <v>84</v>
      </c>
      <c r="B19">
        <v>18</v>
      </c>
      <c r="C19">
        <v>100</v>
      </c>
      <c r="D19">
        <v>0.1</v>
      </c>
      <c r="E19" t="s">
        <v>85</v>
      </c>
    </row>
    <row r="20" spans="1:5" x14ac:dyDescent="0.25">
      <c r="A20" t="s">
        <v>84</v>
      </c>
      <c r="B20">
        <v>19</v>
      </c>
      <c r="C20">
        <v>99.9</v>
      </c>
      <c r="D20">
        <v>0.1</v>
      </c>
      <c r="E20" t="s">
        <v>85</v>
      </c>
    </row>
    <row r="21" spans="1:5" x14ac:dyDescent="0.25">
      <c r="A21" t="s">
        <v>84</v>
      </c>
      <c r="B21">
        <v>20</v>
      </c>
      <c r="C21">
        <v>99.9</v>
      </c>
      <c r="D21">
        <v>0.1</v>
      </c>
      <c r="E21" t="s">
        <v>85</v>
      </c>
    </row>
    <row r="22" spans="1:5" x14ac:dyDescent="0.25">
      <c r="A22" t="s">
        <v>84</v>
      </c>
      <c r="B22">
        <v>21</v>
      </c>
      <c r="C22">
        <v>88</v>
      </c>
      <c r="D22">
        <v>2</v>
      </c>
      <c r="E22" t="s">
        <v>85</v>
      </c>
    </row>
    <row r="23" spans="1:5" x14ac:dyDescent="0.25">
      <c r="A23" t="s">
        <v>84</v>
      </c>
      <c r="B23">
        <v>22</v>
      </c>
      <c r="C23">
        <v>94</v>
      </c>
      <c r="D23">
        <v>2</v>
      </c>
      <c r="E23" t="s">
        <v>85</v>
      </c>
    </row>
    <row r="24" spans="1:5" x14ac:dyDescent="0.25">
      <c r="A24" t="s">
        <v>84</v>
      </c>
      <c r="B24">
        <v>23</v>
      </c>
      <c r="C24">
        <v>94</v>
      </c>
      <c r="D24">
        <v>2</v>
      </c>
      <c r="E24" t="s">
        <v>85</v>
      </c>
    </row>
    <row r="25" spans="1:5" x14ac:dyDescent="0.25">
      <c r="A25" t="s">
        <v>84</v>
      </c>
      <c r="B25">
        <v>24</v>
      </c>
      <c r="C25">
        <v>94</v>
      </c>
      <c r="D25">
        <v>2</v>
      </c>
      <c r="E25" t="s">
        <v>85</v>
      </c>
    </row>
    <row r="26" spans="1:5" x14ac:dyDescent="0.25">
      <c r="A26" t="s">
        <v>84</v>
      </c>
      <c r="B26">
        <v>25</v>
      </c>
      <c r="C26">
        <v>97.32</v>
      </c>
      <c r="D26">
        <v>2</v>
      </c>
      <c r="E26" t="s">
        <v>85</v>
      </c>
    </row>
    <row r="27" spans="1:5" x14ac:dyDescent="0.25">
      <c r="A27" t="s">
        <v>84</v>
      </c>
      <c r="B27">
        <v>26</v>
      </c>
      <c r="C27">
        <v>103.56</v>
      </c>
      <c r="D27">
        <v>2</v>
      </c>
      <c r="E27" t="s">
        <v>85</v>
      </c>
    </row>
    <row r="28" spans="1:5" x14ac:dyDescent="0.25">
      <c r="A28" t="s">
        <v>84</v>
      </c>
      <c r="B28">
        <v>27</v>
      </c>
      <c r="C28">
        <v>115.61</v>
      </c>
      <c r="D28">
        <v>2</v>
      </c>
      <c r="E28" t="s">
        <v>85</v>
      </c>
    </row>
    <row r="29" spans="1:5" x14ac:dyDescent="0.25">
      <c r="A29" t="s">
        <v>84</v>
      </c>
      <c r="B29">
        <v>28</v>
      </c>
      <c r="C29">
        <v>118</v>
      </c>
      <c r="D29">
        <v>2</v>
      </c>
      <c r="E29" t="s">
        <v>85</v>
      </c>
    </row>
    <row r="30" spans="1:5" x14ac:dyDescent="0.25">
      <c r="A30" t="s">
        <v>84</v>
      </c>
      <c r="B30">
        <v>29</v>
      </c>
      <c r="C30">
        <v>130.16999999999999</v>
      </c>
      <c r="D30">
        <v>2</v>
      </c>
      <c r="E30" t="s">
        <v>85</v>
      </c>
    </row>
    <row r="31" spans="1:5" x14ac:dyDescent="0.25">
      <c r="A31" t="s">
        <v>84</v>
      </c>
      <c r="B31">
        <v>30</v>
      </c>
      <c r="C31">
        <v>130.16999999999999</v>
      </c>
      <c r="D31">
        <v>2</v>
      </c>
      <c r="E31" t="s">
        <v>85</v>
      </c>
    </row>
    <row r="32" spans="1:5" x14ac:dyDescent="0.25">
      <c r="A32" t="s">
        <v>84</v>
      </c>
      <c r="B32">
        <v>31</v>
      </c>
      <c r="C32">
        <v>143.1</v>
      </c>
      <c r="D32">
        <v>2</v>
      </c>
      <c r="E32" t="s">
        <v>85</v>
      </c>
    </row>
    <row r="33" spans="1:5" x14ac:dyDescent="0.25">
      <c r="A33" t="s">
        <v>84</v>
      </c>
      <c r="B33">
        <v>32</v>
      </c>
      <c r="C33">
        <v>147.69</v>
      </c>
      <c r="D33">
        <v>0.1</v>
      </c>
      <c r="E33" t="s">
        <v>85</v>
      </c>
    </row>
    <row r="34" spans="1:5" x14ac:dyDescent="0.25">
      <c r="A34" t="s">
        <v>84</v>
      </c>
      <c r="B34">
        <v>33</v>
      </c>
      <c r="C34">
        <v>148</v>
      </c>
      <c r="D34">
        <v>0.1</v>
      </c>
      <c r="E34" t="s">
        <v>85</v>
      </c>
    </row>
    <row r="35" spans="1:5" x14ac:dyDescent="0.25">
      <c r="A35" t="s">
        <v>84</v>
      </c>
      <c r="B35">
        <v>34</v>
      </c>
      <c r="C35">
        <v>145</v>
      </c>
      <c r="D35">
        <v>2</v>
      </c>
      <c r="E35" t="s">
        <v>85</v>
      </c>
    </row>
    <row r="36" spans="1:5" x14ac:dyDescent="0.25">
      <c r="A36" t="s">
        <v>84</v>
      </c>
      <c r="B36">
        <v>35</v>
      </c>
      <c r="C36">
        <v>136.5</v>
      </c>
      <c r="D36">
        <v>2</v>
      </c>
      <c r="E36" t="s">
        <v>85</v>
      </c>
    </row>
    <row r="37" spans="1:5" x14ac:dyDescent="0.25">
      <c r="A37" t="s">
        <v>84</v>
      </c>
      <c r="B37">
        <v>36</v>
      </c>
      <c r="C37">
        <v>127</v>
      </c>
      <c r="D37">
        <v>2</v>
      </c>
      <c r="E37" t="s">
        <v>85</v>
      </c>
    </row>
    <row r="38" spans="1:5" x14ac:dyDescent="0.25">
      <c r="A38" t="s">
        <v>84</v>
      </c>
      <c r="B38">
        <v>37</v>
      </c>
      <c r="C38">
        <v>139.88999999999999</v>
      </c>
      <c r="D38">
        <v>0.1</v>
      </c>
      <c r="E38" t="s">
        <v>85</v>
      </c>
    </row>
    <row r="39" spans="1:5" x14ac:dyDescent="0.25">
      <c r="A39" t="s">
        <v>84</v>
      </c>
      <c r="B39">
        <v>38</v>
      </c>
      <c r="C39">
        <v>145.19</v>
      </c>
      <c r="D39">
        <v>0.1</v>
      </c>
      <c r="E39" t="s">
        <v>85</v>
      </c>
    </row>
    <row r="40" spans="1:5" x14ac:dyDescent="0.25">
      <c r="A40" t="s">
        <v>84</v>
      </c>
      <c r="B40">
        <v>39</v>
      </c>
      <c r="C40">
        <v>122</v>
      </c>
      <c r="D40">
        <v>2</v>
      </c>
      <c r="E40" t="s">
        <v>85</v>
      </c>
    </row>
    <row r="41" spans="1:5" x14ac:dyDescent="0.25">
      <c r="A41" t="s">
        <v>84</v>
      </c>
      <c r="B41">
        <v>40</v>
      </c>
      <c r="C41">
        <v>114.48</v>
      </c>
      <c r="D41">
        <v>2</v>
      </c>
      <c r="E41" t="s">
        <v>85</v>
      </c>
    </row>
    <row r="42" spans="1:5" x14ac:dyDescent="0.25">
      <c r="A42" t="s">
        <v>84</v>
      </c>
      <c r="B42">
        <v>41</v>
      </c>
      <c r="C42">
        <v>115.6</v>
      </c>
      <c r="D42">
        <v>0.1</v>
      </c>
      <c r="E42" t="s">
        <v>85</v>
      </c>
    </row>
    <row r="43" spans="1:5" x14ac:dyDescent="0.25">
      <c r="A43" t="s">
        <v>84</v>
      </c>
      <c r="B43">
        <v>42</v>
      </c>
      <c r="C43">
        <v>114.48</v>
      </c>
      <c r="D43">
        <v>0.1</v>
      </c>
      <c r="E43" t="s">
        <v>85</v>
      </c>
    </row>
    <row r="44" spans="1:5" x14ac:dyDescent="0.25">
      <c r="A44" t="s">
        <v>84</v>
      </c>
      <c r="B44">
        <v>43</v>
      </c>
      <c r="C44">
        <v>110</v>
      </c>
      <c r="D44">
        <v>2</v>
      </c>
      <c r="E44" t="s">
        <v>85</v>
      </c>
    </row>
    <row r="45" spans="1:5" x14ac:dyDescent="0.25">
      <c r="A45" t="s">
        <v>84</v>
      </c>
      <c r="B45">
        <v>44</v>
      </c>
      <c r="C45">
        <v>105</v>
      </c>
      <c r="D45">
        <v>2</v>
      </c>
      <c r="E45" t="s">
        <v>85</v>
      </c>
    </row>
    <row r="46" spans="1:5" x14ac:dyDescent="0.25">
      <c r="A46" t="s">
        <v>84</v>
      </c>
      <c r="B46">
        <v>45</v>
      </c>
      <c r="C46">
        <v>114.48</v>
      </c>
      <c r="D46">
        <v>2</v>
      </c>
      <c r="E46" t="s">
        <v>85</v>
      </c>
    </row>
    <row r="47" spans="1:5" x14ac:dyDescent="0.25">
      <c r="A47" t="s">
        <v>84</v>
      </c>
      <c r="B47">
        <v>46</v>
      </c>
      <c r="C47">
        <v>113.14</v>
      </c>
      <c r="D47">
        <v>2</v>
      </c>
      <c r="E47" t="s">
        <v>85</v>
      </c>
    </row>
    <row r="48" spans="1:5" x14ac:dyDescent="0.25">
      <c r="A48" t="s">
        <v>84</v>
      </c>
      <c r="B48">
        <v>47</v>
      </c>
      <c r="C48">
        <v>108.95</v>
      </c>
      <c r="D48">
        <v>2</v>
      </c>
      <c r="E48" t="s">
        <v>85</v>
      </c>
    </row>
    <row r="49" spans="1:5" x14ac:dyDescent="0.25">
      <c r="A49" t="s">
        <v>84</v>
      </c>
      <c r="B49">
        <v>48</v>
      </c>
      <c r="C49">
        <v>99.54</v>
      </c>
      <c r="D49">
        <v>2</v>
      </c>
      <c r="E49" t="s">
        <v>85</v>
      </c>
    </row>
    <row r="50" spans="1:5" x14ac:dyDescent="0.25">
      <c r="A50" t="s">
        <v>84</v>
      </c>
      <c r="B50">
        <v>49</v>
      </c>
      <c r="C50">
        <v>101</v>
      </c>
      <c r="D50">
        <v>2</v>
      </c>
      <c r="E50" t="s">
        <v>85</v>
      </c>
    </row>
    <row r="51" spans="1:5" x14ac:dyDescent="0.25">
      <c r="A51" t="s">
        <v>84</v>
      </c>
      <c r="B51">
        <v>50</v>
      </c>
      <c r="C51">
        <v>100.88</v>
      </c>
      <c r="D51">
        <v>2</v>
      </c>
      <c r="E51" t="s">
        <v>85</v>
      </c>
    </row>
    <row r="52" spans="1:5" x14ac:dyDescent="0.25">
      <c r="A52" t="s">
        <v>84</v>
      </c>
      <c r="B52">
        <v>51</v>
      </c>
      <c r="C52">
        <v>100.48</v>
      </c>
      <c r="D52">
        <v>2</v>
      </c>
      <c r="E52" t="s">
        <v>85</v>
      </c>
    </row>
    <row r="53" spans="1:5" x14ac:dyDescent="0.25">
      <c r="A53" t="s">
        <v>84</v>
      </c>
      <c r="B53">
        <v>52</v>
      </c>
      <c r="C53">
        <v>100.48</v>
      </c>
      <c r="D53">
        <v>2</v>
      </c>
      <c r="E53" t="s">
        <v>85</v>
      </c>
    </row>
    <row r="54" spans="1:5" x14ac:dyDescent="0.25">
      <c r="A54" t="s">
        <v>84</v>
      </c>
      <c r="B54">
        <v>53</v>
      </c>
      <c r="C54">
        <v>99.18</v>
      </c>
      <c r="D54">
        <v>2</v>
      </c>
      <c r="E54" t="s">
        <v>85</v>
      </c>
    </row>
    <row r="55" spans="1:5" x14ac:dyDescent="0.25">
      <c r="A55" t="s">
        <v>84</v>
      </c>
      <c r="B55">
        <v>54</v>
      </c>
      <c r="C55">
        <v>100.49</v>
      </c>
      <c r="D55">
        <v>2</v>
      </c>
      <c r="E55" t="s">
        <v>85</v>
      </c>
    </row>
    <row r="56" spans="1:5" x14ac:dyDescent="0.25">
      <c r="A56" t="s">
        <v>84</v>
      </c>
      <c r="B56">
        <v>55</v>
      </c>
      <c r="C56">
        <v>101.62</v>
      </c>
      <c r="D56">
        <v>0.1</v>
      </c>
      <c r="E56" t="s">
        <v>85</v>
      </c>
    </row>
    <row r="57" spans="1:5" x14ac:dyDescent="0.25">
      <c r="A57" t="s">
        <v>84</v>
      </c>
      <c r="B57">
        <v>56</v>
      </c>
      <c r="C57">
        <v>101.62</v>
      </c>
      <c r="D57">
        <v>0.1</v>
      </c>
      <c r="E57" t="s">
        <v>85</v>
      </c>
    </row>
    <row r="58" spans="1:5" x14ac:dyDescent="0.25">
      <c r="A58" t="s">
        <v>84</v>
      </c>
      <c r="B58">
        <v>57</v>
      </c>
      <c r="C58">
        <v>99.15</v>
      </c>
      <c r="D58">
        <v>2</v>
      </c>
      <c r="E58" t="s">
        <v>85</v>
      </c>
    </row>
    <row r="59" spans="1:5" x14ac:dyDescent="0.25">
      <c r="A59" t="s">
        <v>84</v>
      </c>
      <c r="B59">
        <v>58</v>
      </c>
      <c r="C59">
        <v>98.1</v>
      </c>
      <c r="D59">
        <v>2</v>
      </c>
      <c r="E59" t="s">
        <v>85</v>
      </c>
    </row>
    <row r="60" spans="1:5" x14ac:dyDescent="0.25">
      <c r="A60" t="s">
        <v>84</v>
      </c>
      <c r="B60">
        <v>59</v>
      </c>
      <c r="C60">
        <v>98.6</v>
      </c>
      <c r="D60">
        <v>2</v>
      </c>
      <c r="E60" t="s">
        <v>85</v>
      </c>
    </row>
    <row r="61" spans="1:5" x14ac:dyDescent="0.25">
      <c r="A61" t="s">
        <v>84</v>
      </c>
      <c r="B61">
        <v>60</v>
      </c>
      <c r="C61">
        <v>99.15</v>
      </c>
      <c r="D61">
        <v>2</v>
      </c>
      <c r="E61" t="s">
        <v>85</v>
      </c>
    </row>
    <row r="62" spans="1:5" x14ac:dyDescent="0.25">
      <c r="A62" t="s">
        <v>84</v>
      </c>
      <c r="B62">
        <v>61</v>
      </c>
      <c r="C62">
        <v>99.77</v>
      </c>
      <c r="D62">
        <v>2</v>
      </c>
      <c r="E62" t="s">
        <v>85</v>
      </c>
    </row>
    <row r="63" spans="1:5" x14ac:dyDescent="0.25">
      <c r="A63" t="s">
        <v>84</v>
      </c>
      <c r="B63">
        <v>62</v>
      </c>
      <c r="C63">
        <v>101.8</v>
      </c>
      <c r="D63">
        <v>2</v>
      </c>
      <c r="E63" t="s">
        <v>85</v>
      </c>
    </row>
    <row r="64" spans="1:5" x14ac:dyDescent="0.25">
      <c r="A64" t="s">
        <v>84</v>
      </c>
      <c r="B64">
        <v>63</v>
      </c>
      <c r="C64">
        <v>107</v>
      </c>
      <c r="D64">
        <v>2</v>
      </c>
      <c r="E64" t="s">
        <v>85</v>
      </c>
    </row>
    <row r="65" spans="1:5" x14ac:dyDescent="0.25">
      <c r="A65" t="s">
        <v>84</v>
      </c>
      <c r="B65">
        <v>64</v>
      </c>
      <c r="C65">
        <v>108.56</v>
      </c>
      <c r="D65">
        <v>2</v>
      </c>
      <c r="E65" t="s">
        <v>85</v>
      </c>
    </row>
    <row r="66" spans="1:5" x14ac:dyDescent="0.25">
      <c r="A66" t="s">
        <v>84</v>
      </c>
      <c r="B66">
        <v>65</v>
      </c>
      <c r="C66">
        <v>103.37</v>
      </c>
      <c r="D66">
        <v>2</v>
      </c>
      <c r="E66" t="s">
        <v>85</v>
      </c>
    </row>
    <row r="67" spans="1:5" x14ac:dyDescent="0.25">
      <c r="A67" t="s">
        <v>84</v>
      </c>
      <c r="B67">
        <v>66</v>
      </c>
      <c r="C67">
        <v>108</v>
      </c>
      <c r="D67">
        <v>2</v>
      </c>
      <c r="E67" t="s">
        <v>85</v>
      </c>
    </row>
    <row r="68" spans="1:5" x14ac:dyDescent="0.25">
      <c r="A68" t="s">
        <v>84</v>
      </c>
      <c r="B68">
        <v>67</v>
      </c>
      <c r="C68">
        <v>113.87</v>
      </c>
      <c r="D68">
        <v>2</v>
      </c>
      <c r="E68" t="s">
        <v>85</v>
      </c>
    </row>
    <row r="69" spans="1:5" x14ac:dyDescent="0.25">
      <c r="A69" t="s">
        <v>84</v>
      </c>
      <c r="B69">
        <v>68</v>
      </c>
      <c r="C69">
        <v>118</v>
      </c>
      <c r="D69">
        <v>2</v>
      </c>
      <c r="E69" t="s">
        <v>85</v>
      </c>
    </row>
    <row r="70" spans="1:5" x14ac:dyDescent="0.25">
      <c r="A70" t="s">
        <v>84</v>
      </c>
      <c r="B70">
        <v>69</v>
      </c>
      <c r="C70">
        <v>112</v>
      </c>
      <c r="D70">
        <v>2</v>
      </c>
      <c r="E70" t="s">
        <v>85</v>
      </c>
    </row>
    <row r="71" spans="1:5" x14ac:dyDescent="0.25">
      <c r="A71" t="s">
        <v>84</v>
      </c>
      <c r="B71">
        <v>70</v>
      </c>
      <c r="C71">
        <v>115.9</v>
      </c>
      <c r="D71">
        <v>2</v>
      </c>
      <c r="E71" t="s">
        <v>85</v>
      </c>
    </row>
    <row r="72" spans="1:5" x14ac:dyDescent="0.25">
      <c r="A72" t="s">
        <v>84</v>
      </c>
      <c r="B72">
        <v>71</v>
      </c>
      <c r="C72">
        <v>128</v>
      </c>
      <c r="D72">
        <v>0.1</v>
      </c>
      <c r="E72" t="s">
        <v>85</v>
      </c>
    </row>
    <row r="73" spans="1:5" x14ac:dyDescent="0.25">
      <c r="A73" t="s">
        <v>84</v>
      </c>
      <c r="B73">
        <v>72</v>
      </c>
      <c r="C73">
        <v>139.56</v>
      </c>
      <c r="D73">
        <v>0.1</v>
      </c>
      <c r="E73" t="s">
        <v>85</v>
      </c>
    </row>
    <row r="74" spans="1:5" x14ac:dyDescent="0.25">
      <c r="A74" t="s">
        <v>84</v>
      </c>
      <c r="B74">
        <v>73</v>
      </c>
      <c r="C74">
        <v>120.5</v>
      </c>
      <c r="D74">
        <v>2</v>
      </c>
      <c r="E74" t="s">
        <v>85</v>
      </c>
    </row>
    <row r="75" spans="1:5" x14ac:dyDescent="0.25">
      <c r="A75" t="s">
        <v>84</v>
      </c>
      <c r="B75">
        <v>74</v>
      </c>
      <c r="C75">
        <v>123</v>
      </c>
      <c r="D75">
        <v>2</v>
      </c>
      <c r="E75" t="s">
        <v>85</v>
      </c>
    </row>
    <row r="76" spans="1:5" x14ac:dyDescent="0.25">
      <c r="A76" t="s">
        <v>84</v>
      </c>
      <c r="B76">
        <v>75</v>
      </c>
      <c r="C76">
        <v>131.35</v>
      </c>
      <c r="D76">
        <v>0.1</v>
      </c>
      <c r="E76" t="s">
        <v>85</v>
      </c>
    </row>
    <row r="77" spans="1:5" x14ac:dyDescent="0.25">
      <c r="A77" t="s">
        <v>84</v>
      </c>
      <c r="B77">
        <v>76</v>
      </c>
      <c r="C77">
        <v>140</v>
      </c>
      <c r="D77">
        <v>0.1</v>
      </c>
      <c r="E77" t="s">
        <v>85</v>
      </c>
    </row>
    <row r="78" spans="1:5" x14ac:dyDescent="0.25">
      <c r="A78" t="s">
        <v>84</v>
      </c>
      <c r="B78">
        <v>77</v>
      </c>
      <c r="C78">
        <v>128.88</v>
      </c>
      <c r="D78">
        <v>2</v>
      </c>
      <c r="E78" t="s">
        <v>85</v>
      </c>
    </row>
    <row r="79" spans="1:5" x14ac:dyDescent="0.25">
      <c r="A79" t="s">
        <v>84</v>
      </c>
      <c r="B79">
        <v>78</v>
      </c>
      <c r="C79">
        <v>141.74</v>
      </c>
      <c r="D79">
        <v>2</v>
      </c>
      <c r="E79" t="s">
        <v>85</v>
      </c>
    </row>
    <row r="80" spans="1:5" x14ac:dyDescent="0.25">
      <c r="A80" t="s">
        <v>84</v>
      </c>
      <c r="B80">
        <v>79</v>
      </c>
      <c r="C80">
        <v>165.74</v>
      </c>
      <c r="D80">
        <v>2</v>
      </c>
      <c r="E80" t="s">
        <v>85</v>
      </c>
    </row>
    <row r="81" spans="1:5" x14ac:dyDescent="0.25">
      <c r="A81" t="s">
        <v>84</v>
      </c>
      <c r="B81">
        <v>80</v>
      </c>
      <c r="C81">
        <v>167.24</v>
      </c>
      <c r="D81">
        <v>2</v>
      </c>
      <c r="E81" t="s">
        <v>85</v>
      </c>
    </row>
    <row r="82" spans="1:5" x14ac:dyDescent="0.25">
      <c r="A82" t="s">
        <v>84</v>
      </c>
      <c r="B82">
        <v>81</v>
      </c>
      <c r="C82">
        <v>155.82</v>
      </c>
      <c r="D82">
        <v>0.1</v>
      </c>
      <c r="E82" t="s">
        <v>85</v>
      </c>
    </row>
    <row r="83" spans="1:5" x14ac:dyDescent="0.25">
      <c r="A83" t="s">
        <v>84</v>
      </c>
      <c r="B83">
        <v>82</v>
      </c>
      <c r="C83">
        <v>139.1</v>
      </c>
      <c r="D83">
        <v>2</v>
      </c>
      <c r="E83" t="s">
        <v>85</v>
      </c>
    </row>
    <row r="84" spans="1:5" x14ac:dyDescent="0.25">
      <c r="A84" t="s">
        <v>84</v>
      </c>
      <c r="B84">
        <v>83</v>
      </c>
      <c r="C84">
        <v>128</v>
      </c>
      <c r="D84">
        <v>2</v>
      </c>
      <c r="E84" t="s">
        <v>85</v>
      </c>
    </row>
    <row r="85" spans="1:5" x14ac:dyDescent="0.25">
      <c r="A85" t="s">
        <v>84</v>
      </c>
      <c r="B85">
        <v>84</v>
      </c>
      <c r="C85">
        <v>125.09</v>
      </c>
      <c r="D85">
        <v>2</v>
      </c>
      <c r="E85" t="s">
        <v>85</v>
      </c>
    </row>
    <row r="86" spans="1:5" x14ac:dyDescent="0.25">
      <c r="A86" t="s">
        <v>84</v>
      </c>
      <c r="B86">
        <v>85</v>
      </c>
      <c r="C86">
        <v>117</v>
      </c>
      <c r="D86">
        <v>0.1</v>
      </c>
      <c r="E86" t="s">
        <v>85</v>
      </c>
    </row>
    <row r="87" spans="1:5" x14ac:dyDescent="0.25">
      <c r="A87" t="s">
        <v>84</v>
      </c>
      <c r="B87">
        <v>86</v>
      </c>
      <c r="C87">
        <v>112.52</v>
      </c>
      <c r="D87">
        <v>2</v>
      </c>
      <c r="E87" t="s">
        <v>85</v>
      </c>
    </row>
    <row r="88" spans="1:5" x14ac:dyDescent="0.25">
      <c r="A88" t="s">
        <v>84</v>
      </c>
      <c r="B88">
        <v>87</v>
      </c>
      <c r="C88">
        <v>103</v>
      </c>
      <c r="D88">
        <v>2</v>
      </c>
      <c r="E88" t="s">
        <v>85</v>
      </c>
    </row>
    <row r="89" spans="1:5" x14ac:dyDescent="0.25">
      <c r="A89" t="s">
        <v>84</v>
      </c>
      <c r="B89">
        <v>88</v>
      </c>
      <c r="C89">
        <v>100.67</v>
      </c>
      <c r="D89">
        <v>2</v>
      </c>
      <c r="E89" t="s">
        <v>85</v>
      </c>
    </row>
    <row r="90" spans="1:5" x14ac:dyDescent="0.25">
      <c r="A90" t="s">
        <v>84</v>
      </c>
      <c r="B90">
        <v>89</v>
      </c>
      <c r="C90">
        <v>101</v>
      </c>
      <c r="D90">
        <v>2</v>
      </c>
      <c r="E90" t="s">
        <v>85</v>
      </c>
    </row>
    <row r="91" spans="1:5" x14ac:dyDescent="0.25">
      <c r="A91" t="s">
        <v>84</v>
      </c>
      <c r="B91">
        <v>90</v>
      </c>
      <c r="C91">
        <v>100.84</v>
      </c>
      <c r="D91">
        <v>2</v>
      </c>
      <c r="E91" t="s">
        <v>85</v>
      </c>
    </row>
    <row r="92" spans="1:5" x14ac:dyDescent="0.25">
      <c r="A92" t="s">
        <v>84</v>
      </c>
      <c r="B92">
        <v>91</v>
      </c>
      <c r="C92">
        <v>98.66</v>
      </c>
      <c r="D92">
        <v>2</v>
      </c>
      <c r="E92" t="s">
        <v>85</v>
      </c>
    </row>
    <row r="93" spans="1:5" x14ac:dyDescent="0.25">
      <c r="A93" t="s">
        <v>84</v>
      </c>
      <c r="B93">
        <v>92</v>
      </c>
      <c r="C93">
        <v>98.66</v>
      </c>
      <c r="D93">
        <v>2</v>
      </c>
      <c r="E93" t="s">
        <v>85</v>
      </c>
    </row>
    <row r="94" spans="1:5" x14ac:dyDescent="0.25">
      <c r="A94" t="s">
        <v>84</v>
      </c>
      <c r="B94">
        <v>93</v>
      </c>
      <c r="C94">
        <v>103.76</v>
      </c>
      <c r="D94">
        <v>2</v>
      </c>
      <c r="E94" t="s">
        <v>85</v>
      </c>
    </row>
    <row r="95" spans="1:5" x14ac:dyDescent="0.25">
      <c r="A95" t="s">
        <v>84</v>
      </c>
      <c r="B95">
        <v>94</v>
      </c>
      <c r="C95">
        <v>101</v>
      </c>
      <c r="D95">
        <v>2</v>
      </c>
      <c r="E95" t="s">
        <v>85</v>
      </c>
    </row>
    <row r="96" spans="1:5" x14ac:dyDescent="0.25">
      <c r="A96" t="s">
        <v>84</v>
      </c>
      <c r="B96">
        <v>95</v>
      </c>
      <c r="C96">
        <v>98</v>
      </c>
      <c r="D96">
        <v>2</v>
      </c>
      <c r="E96" t="s">
        <v>85</v>
      </c>
    </row>
    <row r="97" spans="1:5" x14ac:dyDescent="0.25">
      <c r="A97" t="s">
        <v>84</v>
      </c>
      <c r="B97">
        <v>96</v>
      </c>
      <c r="C97">
        <v>93.92</v>
      </c>
      <c r="D97">
        <v>2</v>
      </c>
      <c r="E97" t="s">
        <v>85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4"/>
  <dimension ref="A1:E97"/>
  <sheetViews>
    <sheetView workbookViewId="0">
      <selection sqref="A1:E97"/>
    </sheetView>
  </sheetViews>
  <sheetFormatPr defaultRowHeight="15" x14ac:dyDescent="0.25"/>
  <sheetData>
    <row r="1" spans="1:5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</row>
    <row r="2" spans="1:5" x14ac:dyDescent="0.25">
      <c r="A2" t="s">
        <v>84</v>
      </c>
      <c r="B2">
        <v>1</v>
      </c>
      <c r="C2">
        <v>83.81</v>
      </c>
      <c r="D2">
        <v>2</v>
      </c>
      <c r="E2" t="s">
        <v>85</v>
      </c>
    </row>
    <row r="3" spans="1:5" x14ac:dyDescent="0.25">
      <c r="A3" t="s">
        <v>84</v>
      </c>
      <c r="B3">
        <v>2</v>
      </c>
      <c r="C3">
        <v>95.24</v>
      </c>
      <c r="D3">
        <v>2</v>
      </c>
      <c r="E3" t="s">
        <v>85</v>
      </c>
    </row>
    <row r="4" spans="1:5" x14ac:dyDescent="0.25">
      <c r="A4" t="s">
        <v>84</v>
      </c>
      <c r="B4">
        <v>3</v>
      </c>
      <c r="C4">
        <v>88</v>
      </c>
      <c r="D4">
        <v>2</v>
      </c>
      <c r="E4" t="s">
        <v>85</v>
      </c>
    </row>
    <row r="5" spans="1:5" x14ac:dyDescent="0.25">
      <c r="A5" t="s">
        <v>84</v>
      </c>
      <c r="B5">
        <v>4</v>
      </c>
      <c r="C5">
        <v>83.81</v>
      </c>
      <c r="D5">
        <v>2</v>
      </c>
      <c r="E5" t="s">
        <v>85</v>
      </c>
    </row>
    <row r="6" spans="1:5" x14ac:dyDescent="0.25">
      <c r="A6" t="s">
        <v>84</v>
      </c>
      <c r="B6">
        <v>5</v>
      </c>
      <c r="C6">
        <v>93.65</v>
      </c>
      <c r="D6">
        <v>2</v>
      </c>
      <c r="E6" t="s">
        <v>85</v>
      </c>
    </row>
    <row r="7" spans="1:5" x14ac:dyDescent="0.25">
      <c r="A7" t="s">
        <v>84</v>
      </c>
      <c r="B7">
        <v>6</v>
      </c>
      <c r="C7">
        <v>87.33</v>
      </c>
      <c r="D7">
        <v>2</v>
      </c>
      <c r="E7" t="s">
        <v>85</v>
      </c>
    </row>
    <row r="8" spans="1:5" x14ac:dyDescent="0.25">
      <c r="A8" t="s">
        <v>84</v>
      </c>
      <c r="B8">
        <v>7</v>
      </c>
      <c r="C8">
        <v>85.94</v>
      </c>
      <c r="D8">
        <v>2</v>
      </c>
      <c r="E8" t="s">
        <v>85</v>
      </c>
    </row>
    <row r="9" spans="1:5" x14ac:dyDescent="0.25">
      <c r="A9" t="s">
        <v>84</v>
      </c>
      <c r="B9">
        <v>8</v>
      </c>
      <c r="C9">
        <v>85.94</v>
      </c>
      <c r="D9">
        <v>2</v>
      </c>
      <c r="E9" t="s">
        <v>85</v>
      </c>
    </row>
    <row r="10" spans="1:5" x14ac:dyDescent="0.25">
      <c r="A10" t="s">
        <v>84</v>
      </c>
      <c r="B10">
        <v>9</v>
      </c>
      <c r="C10">
        <v>96.07</v>
      </c>
      <c r="D10">
        <v>2</v>
      </c>
      <c r="E10" t="s">
        <v>85</v>
      </c>
    </row>
    <row r="11" spans="1:5" x14ac:dyDescent="0.25">
      <c r="A11" t="s">
        <v>84</v>
      </c>
      <c r="B11">
        <v>10</v>
      </c>
      <c r="C11">
        <v>96.07</v>
      </c>
      <c r="D11">
        <v>2</v>
      </c>
      <c r="E11" t="s">
        <v>85</v>
      </c>
    </row>
    <row r="12" spans="1:5" x14ac:dyDescent="0.25">
      <c r="A12" t="s">
        <v>84</v>
      </c>
      <c r="B12">
        <v>11</v>
      </c>
      <c r="C12">
        <v>94</v>
      </c>
      <c r="D12">
        <v>2</v>
      </c>
      <c r="E12" t="s">
        <v>85</v>
      </c>
    </row>
    <row r="13" spans="1:5" x14ac:dyDescent="0.25">
      <c r="A13" t="s">
        <v>84</v>
      </c>
      <c r="B13">
        <v>12</v>
      </c>
      <c r="C13">
        <v>93.54</v>
      </c>
      <c r="D13">
        <v>2</v>
      </c>
      <c r="E13" t="s">
        <v>85</v>
      </c>
    </row>
    <row r="14" spans="1:5" x14ac:dyDescent="0.25">
      <c r="A14" t="s">
        <v>84</v>
      </c>
      <c r="B14">
        <v>13</v>
      </c>
      <c r="C14">
        <v>97.32</v>
      </c>
      <c r="D14">
        <v>2</v>
      </c>
      <c r="E14" t="s">
        <v>85</v>
      </c>
    </row>
    <row r="15" spans="1:5" x14ac:dyDescent="0.25">
      <c r="A15" t="s">
        <v>84</v>
      </c>
      <c r="B15">
        <v>14</v>
      </c>
      <c r="C15">
        <v>97.32</v>
      </c>
      <c r="D15">
        <v>2</v>
      </c>
      <c r="E15" t="s">
        <v>85</v>
      </c>
    </row>
    <row r="16" spans="1:5" x14ac:dyDescent="0.25">
      <c r="A16" t="s">
        <v>84</v>
      </c>
      <c r="B16">
        <v>15</v>
      </c>
      <c r="C16">
        <v>97.32</v>
      </c>
      <c r="D16">
        <v>2</v>
      </c>
      <c r="E16" t="s">
        <v>85</v>
      </c>
    </row>
    <row r="17" spans="1:5" x14ac:dyDescent="0.25">
      <c r="A17" t="s">
        <v>84</v>
      </c>
      <c r="B17">
        <v>16</v>
      </c>
      <c r="C17">
        <v>97.32</v>
      </c>
      <c r="D17">
        <v>2</v>
      </c>
      <c r="E17" t="s">
        <v>85</v>
      </c>
    </row>
    <row r="18" spans="1:5" x14ac:dyDescent="0.25">
      <c r="A18" t="s">
        <v>84</v>
      </c>
      <c r="B18">
        <v>17</v>
      </c>
      <c r="C18">
        <v>99.9</v>
      </c>
      <c r="D18">
        <v>0.1</v>
      </c>
      <c r="E18" t="s">
        <v>85</v>
      </c>
    </row>
    <row r="19" spans="1:5" x14ac:dyDescent="0.25">
      <c r="A19" t="s">
        <v>84</v>
      </c>
      <c r="B19">
        <v>18</v>
      </c>
      <c r="C19">
        <v>100</v>
      </c>
      <c r="D19">
        <v>0.1</v>
      </c>
      <c r="E19" t="s">
        <v>85</v>
      </c>
    </row>
    <row r="20" spans="1:5" x14ac:dyDescent="0.25">
      <c r="A20" t="s">
        <v>84</v>
      </c>
      <c r="B20">
        <v>19</v>
      </c>
      <c r="C20">
        <v>99.9</v>
      </c>
      <c r="D20">
        <v>0.1</v>
      </c>
      <c r="E20" t="s">
        <v>85</v>
      </c>
    </row>
    <row r="21" spans="1:5" x14ac:dyDescent="0.25">
      <c r="A21" t="s">
        <v>84</v>
      </c>
      <c r="B21">
        <v>20</v>
      </c>
      <c r="C21">
        <v>99.9</v>
      </c>
      <c r="D21">
        <v>0.1</v>
      </c>
      <c r="E21" t="s">
        <v>85</v>
      </c>
    </row>
    <row r="22" spans="1:5" x14ac:dyDescent="0.25">
      <c r="A22" t="s">
        <v>84</v>
      </c>
      <c r="B22">
        <v>21</v>
      </c>
      <c r="C22">
        <v>88</v>
      </c>
      <c r="D22">
        <v>2</v>
      </c>
      <c r="E22" t="s">
        <v>85</v>
      </c>
    </row>
    <row r="23" spans="1:5" x14ac:dyDescent="0.25">
      <c r="A23" t="s">
        <v>84</v>
      </c>
      <c r="B23">
        <v>22</v>
      </c>
      <c r="C23">
        <v>94</v>
      </c>
      <c r="D23">
        <v>2</v>
      </c>
      <c r="E23" t="s">
        <v>85</v>
      </c>
    </row>
    <row r="24" spans="1:5" x14ac:dyDescent="0.25">
      <c r="A24" t="s">
        <v>84</v>
      </c>
      <c r="B24">
        <v>23</v>
      </c>
      <c r="C24">
        <v>94</v>
      </c>
      <c r="D24">
        <v>2</v>
      </c>
      <c r="E24" t="s">
        <v>85</v>
      </c>
    </row>
    <row r="25" spans="1:5" x14ac:dyDescent="0.25">
      <c r="A25" t="s">
        <v>84</v>
      </c>
      <c r="B25">
        <v>24</v>
      </c>
      <c r="C25">
        <v>94</v>
      </c>
      <c r="D25">
        <v>2</v>
      </c>
      <c r="E25" t="s">
        <v>85</v>
      </c>
    </row>
    <row r="26" spans="1:5" x14ac:dyDescent="0.25">
      <c r="A26" t="s">
        <v>84</v>
      </c>
      <c r="B26">
        <v>25</v>
      </c>
      <c r="C26">
        <v>97.32</v>
      </c>
      <c r="D26">
        <v>2</v>
      </c>
      <c r="E26" t="s">
        <v>85</v>
      </c>
    </row>
    <row r="27" spans="1:5" x14ac:dyDescent="0.25">
      <c r="A27" t="s">
        <v>84</v>
      </c>
      <c r="B27">
        <v>26</v>
      </c>
      <c r="C27">
        <v>103.56</v>
      </c>
      <c r="D27">
        <v>2</v>
      </c>
      <c r="E27" t="s">
        <v>85</v>
      </c>
    </row>
    <row r="28" spans="1:5" x14ac:dyDescent="0.25">
      <c r="A28" t="s">
        <v>84</v>
      </c>
      <c r="B28">
        <v>27</v>
      </c>
      <c r="C28">
        <v>115.61</v>
      </c>
      <c r="D28">
        <v>2</v>
      </c>
      <c r="E28" t="s">
        <v>85</v>
      </c>
    </row>
    <row r="29" spans="1:5" x14ac:dyDescent="0.25">
      <c r="A29" t="s">
        <v>84</v>
      </c>
      <c r="B29">
        <v>28</v>
      </c>
      <c r="C29">
        <v>118</v>
      </c>
      <c r="D29">
        <v>2</v>
      </c>
      <c r="E29" t="s">
        <v>85</v>
      </c>
    </row>
    <row r="30" spans="1:5" x14ac:dyDescent="0.25">
      <c r="A30" t="s">
        <v>84</v>
      </c>
      <c r="B30">
        <v>29</v>
      </c>
      <c r="C30">
        <v>130.16999999999999</v>
      </c>
      <c r="D30">
        <v>2</v>
      </c>
      <c r="E30" t="s">
        <v>85</v>
      </c>
    </row>
    <row r="31" spans="1:5" x14ac:dyDescent="0.25">
      <c r="A31" t="s">
        <v>84</v>
      </c>
      <c r="B31">
        <v>30</v>
      </c>
      <c r="C31">
        <v>130.16999999999999</v>
      </c>
      <c r="D31">
        <v>2</v>
      </c>
      <c r="E31" t="s">
        <v>85</v>
      </c>
    </row>
    <row r="32" spans="1:5" x14ac:dyDescent="0.25">
      <c r="A32" t="s">
        <v>84</v>
      </c>
      <c r="B32">
        <v>31</v>
      </c>
      <c r="C32">
        <v>143.1</v>
      </c>
      <c r="D32">
        <v>2</v>
      </c>
      <c r="E32" t="s">
        <v>85</v>
      </c>
    </row>
    <row r="33" spans="1:5" x14ac:dyDescent="0.25">
      <c r="A33" t="s">
        <v>84</v>
      </c>
      <c r="B33">
        <v>32</v>
      </c>
      <c r="C33">
        <v>147.69</v>
      </c>
      <c r="D33">
        <v>0.1</v>
      </c>
      <c r="E33" t="s">
        <v>85</v>
      </c>
    </row>
    <row r="34" spans="1:5" x14ac:dyDescent="0.25">
      <c r="A34" t="s">
        <v>84</v>
      </c>
      <c r="B34">
        <v>33</v>
      </c>
      <c r="C34">
        <v>148</v>
      </c>
      <c r="D34">
        <v>0.1</v>
      </c>
      <c r="E34" t="s">
        <v>85</v>
      </c>
    </row>
    <row r="35" spans="1:5" x14ac:dyDescent="0.25">
      <c r="A35" t="s">
        <v>84</v>
      </c>
      <c r="B35">
        <v>34</v>
      </c>
      <c r="C35">
        <v>145</v>
      </c>
      <c r="D35">
        <v>2</v>
      </c>
      <c r="E35" t="s">
        <v>85</v>
      </c>
    </row>
    <row r="36" spans="1:5" x14ac:dyDescent="0.25">
      <c r="A36" t="s">
        <v>84</v>
      </c>
      <c r="B36">
        <v>35</v>
      </c>
      <c r="C36">
        <v>136.5</v>
      </c>
      <c r="D36">
        <v>2</v>
      </c>
      <c r="E36" t="s">
        <v>85</v>
      </c>
    </row>
    <row r="37" spans="1:5" x14ac:dyDescent="0.25">
      <c r="A37" t="s">
        <v>84</v>
      </c>
      <c r="B37">
        <v>36</v>
      </c>
      <c r="C37">
        <v>127</v>
      </c>
      <c r="D37">
        <v>2</v>
      </c>
      <c r="E37" t="s">
        <v>85</v>
      </c>
    </row>
    <row r="38" spans="1:5" x14ac:dyDescent="0.25">
      <c r="A38" t="s">
        <v>84</v>
      </c>
      <c r="B38">
        <v>37</v>
      </c>
      <c r="C38">
        <v>139.88999999999999</v>
      </c>
      <c r="D38">
        <v>0.1</v>
      </c>
      <c r="E38" t="s">
        <v>85</v>
      </c>
    </row>
    <row r="39" spans="1:5" x14ac:dyDescent="0.25">
      <c r="A39" t="s">
        <v>84</v>
      </c>
      <c r="B39">
        <v>38</v>
      </c>
      <c r="C39">
        <v>145.19</v>
      </c>
      <c r="D39">
        <v>0.1</v>
      </c>
      <c r="E39" t="s">
        <v>85</v>
      </c>
    </row>
    <row r="40" spans="1:5" x14ac:dyDescent="0.25">
      <c r="A40" t="s">
        <v>84</v>
      </c>
      <c r="B40">
        <v>39</v>
      </c>
      <c r="C40">
        <v>122</v>
      </c>
      <c r="D40">
        <v>2</v>
      </c>
      <c r="E40" t="s">
        <v>85</v>
      </c>
    </row>
    <row r="41" spans="1:5" x14ac:dyDescent="0.25">
      <c r="A41" t="s">
        <v>84</v>
      </c>
      <c r="B41">
        <v>40</v>
      </c>
      <c r="C41">
        <v>114.48</v>
      </c>
      <c r="D41">
        <v>2</v>
      </c>
      <c r="E41" t="s">
        <v>85</v>
      </c>
    </row>
    <row r="42" spans="1:5" x14ac:dyDescent="0.25">
      <c r="A42" t="s">
        <v>84</v>
      </c>
      <c r="B42">
        <v>41</v>
      </c>
      <c r="C42">
        <v>115.6</v>
      </c>
      <c r="D42">
        <v>0.1</v>
      </c>
      <c r="E42" t="s">
        <v>85</v>
      </c>
    </row>
    <row r="43" spans="1:5" x14ac:dyDescent="0.25">
      <c r="A43" t="s">
        <v>84</v>
      </c>
      <c r="B43">
        <v>42</v>
      </c>
      <c r="C43">
        <v>114.48</v>
      </c>
      <c r="D43">
        <v>0.1</v>
      </c>
      <c r="E43" t="s">
        <v>85</v>
      </c>
    </row>
    <row r="44" spans="1:5" x14ac:dyDescent="0.25">
      <c r="A44" t="s">
        <v>84</v>
      </c>
      <c r="B44">
        <v>43</v>
      </c>
      <c r="C44">
        <v>110</v>
      </c>
      <c r="D44">
        <v>2</v>
      </c>
      <c r="E44" t="s">
        <v>85</v>
      </c>
    </row>
    <row r="45" spans="1:5" x14ac:dyDescent="0.25">
      <c r="A45" t="s">
        <v>84</v>
      </c>
      <c r="B45">
        <v>44</v>
      </c>
      <c r="C45">
        <v>105</v>
      </c>
      <c r="D45">
        <v>2</v>
      </c>
      <c r="E45" t="s">
        <v>85</v>
      </c>
    </row>
    <row r="46" spans="1:5" x14ac:dyDescent="0.25">
      <c r="A46" t="s">
        <v>84</v>
      </c>
      <c r="B46">
        <v>45</v>
      </c>
      <c r="C46">
        <v>114.48</v>
      </c>
      <c r="D46">
        <v>2</v>
      </c>
      <c r="E46" t="s">
        <v>85</v>
      </c>
    </row>
    <row r="47" spans="1:5" x14ac:dyDescent="0.25">
      <c r="A47" t="s">
        <v>84</v>
      </c>
      <c r="B47">
        <v>46</v>
      </c>
      <c r="C47">
        <v>113.14</v>
      </c>
      <c r="D47">
        <v>2</v>
      </c>
      <c r="E47" t="s">
        <v>85</v>
      </c>
    </row>
    <row r="48" spans="1:5" x14ac:dyDescent="0.25">
      <c r="A48" t="s">
        <v>84</v>
      </c>
      <c r="B48">
        <v>47</v>
      </c>
      <c r="C48">
        <v>108.95</v>
      </c>
      <c r="D48">
        <v>2</v>
      </c>
      <c r="E48" t="s">
        <v>85</v>
      </c>
    </row>
    <row r="49" spans="1:5" x14ac:dyDescent="0.25">
      <c r="A49" t="s">
        <v>84</v>
      </c>
      <c r="B49">
        <v>48</v>
      </c>
      <c r="C49">
        <v>99.54</v>
      </c>
      <c r="D49">
        <v>2</v>
      </c>
      <c r="E49" t="s">
        <v>85</v>
      </c>
    </row>
    <row r="50" spans="1:5" x14ac:dyDescent="0.25">
      <c r="A50" t="s">
        <v>84</v>
      </c>
      <c r="B50">
        <v>49</v>
      </c>
      <c r="C50">
        <v>101</v>
      </c>
      <c r="D50">
        <v>2</v>
      </c>
      <c r="E50" t="s">
        <v>85</v>
      </c>
    </row>
    <row r="51" spans="1:5" x14ac:dyDescent="0.25">
      <c r="A51" t="s">
        <v>84</v>
      </c>
      <c r="B51">
        <v>50</v>
      </c>
      <c r="C51">
        <v>100.88</v>
      </c>
      <c r="D51">
        <v>2</v>
      </c>
      <c r="E51" t="s">
        <v>85</v>
      </c>
    </row>
    <row r="52" spans="1:5" x14ac:dyDescent="0.25">
      <c r="A52" t="s">
        <v>84</v>
      </c>
      <c r="B52">
        <v>51</v>
      </c>
      <c r="C52">
        <v>100.48</v>
      </c>
      <c r="D52">
        <v>2</v>
      </c>
      <c r="E52" t="s">
        <v>85</v>
      </c>
    </row>
    <row r="53" spans="1:5" x14ac:dyDescent="0.25">
      <c r="A53" t="s">
        <v>84</v>
      </c>
      <c r="B53">
        <v>52</v>
      </c>
      <c r="C53">
        <v>100.48</v>
      </c>
      <c r="D53">
        <v>2</v>
      </c>
      <c r="E53" t="s">
        <v>85</v>
      </c>
    </row>
    <row r="54" spans="1:5" x14ac:dyDescent="0.25">
      <c r="A54" t="s">
        <v>84</v>
      </c>
      <c r="B54">
        <v>53</v>
      </c>
      <c r="C54">
        <v>99.18</v>
      </c>
      <c r="D54">
        <v>2</v>
      </c>
      <c r="E54" t="s">
        <v>85</v>
      </c>
    </row>
    <row r="55" spans="1:5" x14ac:dyDescent="0.25">
      <c r="A55" t="s">
        <v>84</v>
      </c>
      <c r="B55">
        <v>54</v>
      </c>
      <c r="C55">
        <v>100.49</v>
      </c>
      <c r="D55">
        <v>2</v>
      </c>
      <c r="E55" t="s">
        <v>85</v>
      </c>
    </row>
    <row r="56" spans="1:5" x14ac:dyDescent="0.25">
      <c r="A56" t="s">
        <v>84</v>
      </c>
      <c r="B56">
        <v>55</v>
      </c>
      <c r="C56">
        <v>101.62</v>
      </c>
      <c r="D56">
        <v>0.1</v>
      </c>
      <c r="E56" t="s">
        <v>85</v>
      </c>
    </row>
    <row r="57" spans="1:5" x14ac:dyDescent="0.25">
      <c r="A57" t="s">
        <v>84</v>
      </c>
      <c r="B57">
        <v>56</v>
      </c>
      <c r="C57">
        <v>101.62</v>
      </c>
      <c r="D57">
        <v>0.1</v>
      </c>
      <c r="E57" t="s">
        <v>85</v>
      </c>
    </row>
    <row r="58" spans="1:5" x14ac:dyDescent="0.25">
      <c r="A58" t="s">
        <v>84</v>
      </c>
      <c r="B58">
        <v>57</v>
      </c>
      <c r="C58">
        <v>99.15</v>
      </c>
      <c r="D58">
        <v>2</v>
      </c>
      <c r="E58" t="s">
        <v>85</v>
      </c>
    </row>
    <row r="59" spans="1:5" x14ac:dyDescent="0.25">
      <c r="A59" t="s">
        <v>84</v>
      </c>
      <c r="B59">
        <v>58</v>
      </c>
      <c r="C59">
        <v>98.1</v>
      </c>
      <c r="D59">
        <v>2</v>
      </c>
      <c r="E59" t="s">
        <v>85</v>
      </c>
    </row>
    <row r="60" spans="1:5" x14ac:dyDescent="0.25">
      <c r="A60" t="s">
        <v>84</v>
      </c>
      <c r="B60">
        <v>59</v>
      </c>
      <c r="C60">
        <v>98.6</v>
      </c>
      <c r="D60">
        <v>2</v>
      </c>
      <c r="E60" t="s">
        <v>85</v>
      </c>
    </row>
    <row r="61" spans="1:5" x14ac:dyDescent="0.25">
      <c r="A61" t="s">
        <v>84</v>
      </c>
      <c r="B61">
        <v>60</v>
      </c>
      <c r="C61">
        <v>99.15</v>
      </c>
      <c r="D61">
        <v>2</v>
      </c>
      <c r="E61" t="s">
        <v>85</v>
      </c>
    </row>
    <row r="62" spans="1:5" x14ac:dyDescent="0.25">
      <c r="A62" t="s">
        <v>84</v>
      </c>
      <c r="B62">
        <v>61</v>
      </c>
      <c r="C62">
        <v>99.77</v>
      </c>
      <c r="D62">
        <v>2</v>
      </c>
      <c r="E62" t="s">
        <v>85</v>
      </c>
    </row>
    <row r="63" spans="1:5" x14ac:dyDescent="0.25">
      <c r="A63" t="s">
        <v>84</v>
      </c>
      <c r="B63">
        <v>62</v>
      </c>
      <c r="C63">
        <v>101.8</v>
      </c>
      <c r="D63">
        <v>2</v>
      </c>
      <c r="E63" t="s">
        <v>85</v>
      </c>
    </row>
    <row r="64" spans="1:5" x14ac:dyDescent="0.25">
      <c r="A64" t="s">
        <v>84</v>
      </c>
      <c r="B64">
        <v>63</v>
      </c>
      <c r="C64">
        <v>107</v>
      </c>
      <c r="D64">
        <v>2</v>
      </c>
      <c r="E64" t="s">
        <v>85</v>
      </c>
    </row>
    <row r="65" spans="1:5" x14ac:dyDescent="0.25">
      <c r="A65" t="s">
        <v>84</v>
      </c>
      <c r="B65">
        <v>64</v>
      </c>
      <c r="C65">
        <v>108.56</v>
      </c>
      <c r="D65">
        <v>2</v>
      </c>
      <c r="E65" t="s">
        <v>85</v>
      </c>
    </row>
    <row r="66" spans="1:5" x14ac:dyDescent="0.25">
      <c r="A66" t="s">
        <v>84</v>
      </c>
      <c r="B66">
        <v>65</v>
      </c>
      <c r="C66">
        <v>103.37</v>
      </c>
      <c r="D66">
        <v>2</v>
      </c>
      <c r="E66" t="s">
        <v>85</v>
      </c>
    </row>
    <row r="67" spans="1:5" x14ac:dyDescent="0.25">
      <c r="A67" t="s">
        <v>84</v>
      </c>
      <c r="B67">
        <v>66</v>
      </c>
      <c r="C67">
        <v>108</v>
      </c>
      <c r="D67">
        <v>2</v>
      </c>
      <c r="E67" t="s">
        <v>85</v>
      </c>
    </row>
    <row r="68" spans="1:5" x14ac:dyDescent="0.25">
      <c r="A68" t="s">
        <v>84</v>
      </c>
      <c r="B68">
        <v>67</v>
      </c>
      <c r="C68">
        <v>113.87</v>
      </c>
      <c r="D68">
        <v>2</v>
      </c>
      <c r="E68" t="s">
        <v>85</v>
      </c>
    </row>
    <row r="69" spans="1:5" x14ac:dyDescent="0.25">
      <c r="A69" t="s">
        <v>84</v>
      </c>
      <c r="B69">
        <v>68</v>
      </c>
      <c r="C69">
        <v>118</v>
      </c>
      <c r="D69">
        <v>2</v>
      </c>
      <c r="E69" t="s">
        <v>85</v>
      </c>
    </row>
    <row r="70" spans="1:5" x14ac:dyDescent="0.25">
      <c r="A70" t="s">
        <v>84</v>
      </c>
      <c r="B70">
        <v>69</v>
      </c>
      <c r="C70">
        <v>112</v>
      </c>
      <c r="D70">
        <v>2</v>
      </c>
      <c r="E70" t="s">
        <v>85</v>
      </c>
    </row>
    <row r="71" spans="1:5" x14ac:dyDescent="0.25">
      <c r="A71" t="s">
        <v>84</v>
      </c>
      <c r="B71">
        <v>70</v>
      </c>
      <c r="C71">
        <v>115.9</v>
      </c>
      <c r="D71">
        <v>2</v>
      </c>
      <c r="E71" t="s">
        <v>85</v>
      </c>
    </row>
    <row r="72" spans="1:5" x14ac:dyDescent="0.25">
      <c r="A72" t="s">
        <v>84</v>
      </c>
      <c r="B72">
        <v>71</v>
      </c>
      <c r="C72">
        <v>128</v>
      </c>
      <c r="D72">
        <v>0.1</v>
      </c>
      <c r="E72" t="s">
        <v>85</v>
      </c>
    </row>
    <row r="73" spans="1:5" x14ac:dyDescent="0.25">
      <c r="A73" t="s">
        <v>84</v>
      </c>
      <c r="B73">
        <v>72</v>
      </c>
      <c r="C73">
        <v>139.56</v>
      </c>
      <c r="D73">
        <v>0.1</v>
      </c>
      <c r="E73" t="s">
        <v>85</v>
      </c>
    </row>
    <row r="74" spans="1:5" x14ac:dyDescent="0.25">
      <c r="A74" t="s">
        <v>84</v>
      </c>
      <c r="B74">
        <v>73</v>
      </c>
      <c r="C74">
        <v>120.5</v>
      </c>
      <c r="D74">
        <v>2</v>
      </c>
      <c r="E74" t="s">
        <v>85</v>
      </c>
    </row>
    <row r="75" spans="1:5" x14ac:dyDescent="0.25">
      <c r="A75" t="s">
        <v>84</v>
      </c>
      <c r="B75">
        <v>74</v>
      </c>
      <c r="C75">
        <v>123</v>
      </c>
      <c r="D75">
        <v>2</v>
      </c>
      <c r="E75" t="s">
        <v>85</v>
      </c>
    </row>
    <row r="76" spans="1:5" x14ac:dyDescent="0.25">
      <c r="A76" t="s">
        <v>84</v>
      </c>
      <c r="B76">
        <v>75</v>
      </c>
      <c r="C76">
        <v>131.35</v>
      </c>
      <c r="D76">
        <v>0.1</v>
      </c>
      <c r="E76" t="s">
        <v>85</v>
      </c>
    </row>
    <row r="77" spans="1:5" x14ac:dyDescent="0.25">
      <c r="A77" t="s">
        <v>84</v>
      </c>
      <c r="B77">
        <v>76</v>
      </c>
      <c r="C77">
        <v>140</v>
      </c>
      <c r="D77">
        <v>0.1</v>
      </c>
      <c r="E77" t="s">
        <v>85</v>
      </c>
    </row>
    <row r="78" spans="1:5" x14ac:dyDescent="0.25">
      <c r="A78" t="s">
        <v>84</v>
      </c>
      <c r="B78">
        <v>77</v>
      </c>
      <c r="C78">
        <v>128.88</v>
      </c>
      <c r="D78">
        <v>2</v>
      </c>
      <c r="E78" t="s">
        <v>85</v>
      </c>
    </row>
    <row r="79" spans="1:5" x14ac:dyDescent="0.25">
      <c r="A79" t="s">
        <v>84</v>
      </c>
      <c r="B79">
        <v>78</v>
      </c>
      <c r="C79">
        <v>141.74</v>
      </c>
      <c r="D79">
        <v>2</v>
      </c>
      <c r="E79" t="s">
        <v>85</v>
      </c>
    </row>
    <row r="80" spans="1:5" x14ac:dyDescent="0.25">
      <c r="A80" t="s">
        <v>84</v>
      </c>
      <c r="B80">
        <v>79</v>
      </c>
      <c r="C80">
        <v>165.74</v>
      </c>
      <c r="D80">
        <v>2</v>
      </c>
      <c r="E80" t="s">
        <v>85</v>
      </c>
    </row>
    <row r="81" spans="1:5" x14ac:dyDescent="0.25">
      <c r="A81" t="s">
        <v>84</v>
      </c>
      <c r="B81">
        <v>80</v>
      </c>
      <c r="C81">
        <v>167.24</v>
      </c>
      <c r="D81">
        <v>2</v>
      </c>
      <c r="E81" t="s">
        <v>85</v>
      </c>
    </row>
    <row r="82" spans="1:5" x14ac:dyDescent="0.25">
      <c r="A82" t="s">
        <v>84</v>
      </c>
      <c r="B82">
        <v>81</v>
      </c>
      <c r="C82">
        <v>155.82</v>
      </c>
      <c r="D82">
        <v>0.1</v>
      </c>
      <c r="E82" t="s">
        <v>85</v>
      </c>
    </row>
    <row r="83" spans="1:5" x14ac:dyDescent="0.25">
      <c r="A83" t="s">
        <v>84</v>
      </c>
      <c r="B83">
        <v>82</v>
      </c>
      <c r="C83">
        <v>139.1</v>
      </c>
      <c r="D83">
        <v>2</v>
      </c>
      <c r="E83" t="s">
        <v>85</v>
      </c>
    </row>
    <row r="84" spans="1:5" x14ac:dyDescent="0.25">
      <c r="A84" t="s">
        <v>84</v>
      </c>
      <c r="B84">
        <v>83</v>
      </c>
      <c r="C84">
        <v>128</v>
      </c>
      <c r="D84">
        <v>2</v>
      </c>
      <c r="E84" t="s">
        <v>85</v>
      </c>
    </row>
    <row r="85" spans="1:5" x14ac:dyDescent="0.25">
      <c r="A85" t="s">
        <v>84</v>
      </c>
      <c r="B85">
        <v>84</v>
      </c>
      <c r="C85">
        <v>125.09</v>
      </c>
      <c r="D85">
        <v>2</v>
      </c>
      <c r="E85" t="s">
        <v>85</v>
      </c>
    </row>
    <row r="86" spans="1:5" x14ac:dyDescent="0.25">
      <c r="A86" t="s">
        <v>84</v>
      </c>
      <c r="B86">
        <v>85</v>
      </c>
      <c r="C86">
        <v>117</v>
      </c>
      <c r="D86">
        <v>0.1</v>
      </c>
      <c r="E86" t="s">
        <v>85</v>
      </c>
    </row>
    <row r="87" spans="1:5" x14ac:dyDescent="0.25">
      <c r="A87" t="s">
        <v>84</v>
      </c>
      <c r="B87">
        <v>86</v>
      </c>
      <c r="C87">
        <v>112.52</v>
      </c>
      <c r="D87">
        <v>2</v>
      </c>
      <c r="E87" t="s">
        <v>85</v>
      </c>
    </row>
    <row r="88" spans="1:5" x14ac:dyDescent="0.25">
      <c r="A88" t="s">
        <v>84</v>
      </c>
      <c r="B88">
        <v>87</v>
      </c>
      <c r="C88">
        <v>103</v>
      </c>
      <c r="D88">
        <v>2</v>
      </c>
      <c r="E88" t="s">
        <v>85</v>
      </c>
    </row>
    <row r="89" spans="1:5" x14ac:dyDescent="0.25">
      <c r="A89" t="s">
        <v>84</v>
      </c>
      <c r="B89">
        <v>88</v>
      </c>
      <c r="C89">
        <v>100.67</v>
      </c>
      <c r="D89">
        <v>2</v>
      </c>
      <c r="E89" t="s">
        <v>85</v>
      </c>
    </row>
    <row r="90" spans="1:5" x14ac:dyDescent="0.25">
      <c r="A90" t="s">
        <v>84</v>
      </c>
      <c r="B90">
        <v>89</v>
      </c>
      <c r="C90">
        <v>101</v>
      </c>
      <c r="D90">
        <v>2</v>
      </c>
      <c r="E90" t="s">
        <v>85</v>
      </c>
    </row>
    <row r="91" spans="1:5" x14ac:dyDescent="0.25">
      <c r="A91" t="s">
        <v>84</v>
      </c>
      <c r="B91">
        <v>90</v>
      </c>
      <c r="C91">
        <v>100.84</v>
      </c>
      <c r="D91">
        <v>2</v>
      </c>
      <c r="E91" t="s">
        <v>85</v>
      </c>
    </row>
    <row r="92" spans="1:5" x14ac:dyDescent="0.25">
      <c r="A92" t="s">
        <v>84</v>
      </c>
      <c r="B92">
        <v>91</v>
      </c>
      <c r="C92">
        <v>98.66</v>
      </c>
      <c r="D92">
        <v>2</v>
      </c>
      <c r="E92" t="s">
        <v>85</v>
      </c>
    </row>
    <row r="93" spans="1:5" x14ac:dyDescent="0.25">
      <c r="A93" t="s">
        <v>84</v>
      </c>
      <c r="B93">
        <v>92</v>
      </c>
      <c r="C93">
        <v>98.66</v>
      </c>
      <c r="D93">
        <v>2</v>
      </c>
      <c r="E93" t="s">
        <v>85</v>
      </c>
    </row>
    <row r="94" spans="1:5" x14ac:dyDescent="0.25">
      <c r="A94" t="s">
        <v>84</v>
      </c>
      <c r="B94">
        <v>93</v>
      </c>
      <c r="C94">
        <v>103.76</v>
      </c>
      <c r="D94">
        <v>2</v>
      </c>
      <c r="E94" t="s">
        <v>85</v>
      </c>
    </row>
    <row r="95" spans="1:5" x14ac:dyDescent="0.25">
      <c r="A95" t="s">
        <v>84</v>
      </c>
      <c r="B95">
        <v>94</v>
      </c>
      <c r="C95">
        <v>101</v>
      </c>
      <c r="D95">
        <v>2</v>
      </c>
      <c r="E95" t="s">
        <v>85</v>
      </c>
    </row>
    <row r="96" spans="1:5" x14ac:dyDescent="0.25">
      <c r="A96" t="s">
        <v>84</v>
      </c>
      <c r="B96">
        <v>95</v>
      </c>
      <c r="C96">
        <v>98</v>
      </c>
      <c r="D96">
        <v>2</v>
      </c>
      <c r="E96" t="s">
        <v>85</v>
      </c>
    </row>
    <row r="97" spans="1:5" x14ac:dyDescent="0.25">
      <c r="A97" t="s">
        <v>84</v>
      </c>
      <c r="B97">
        <v>96</v>
      </c>
      <c r="C97">
        <v>93.92</v>
      </c>
      <c r="D97">
        <v>2</v>
      </c>
      <c r="E97" t="s">
        <v>85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5"/>
  <dimension ref="A1:E97"/>
  <sheetViews>
    <sheetView workbookViewId="0">
      <selection sqref="A1:E97"/>
    </sheetView>
  </sheetViews>
  <sheetFormatPr defaultRowHeight="15" x14ac:dyDescent="0.25"/>
  <sheetData>
    <row r="1" spans="1:5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</row>
    <row r="2" spans="1:5" x14ac:dyDescent="0.25">
      <c r="A2" t="s">
        <v>84</v>
      </c>
      <c r="B2">
        <v>1</v>
      </c>
      <c r="C2">
        <v>83.81</v>
      </c>
      <c r="D2">
        <v>2</v>
      </c>
      <c r="E2" t="s">
        <v>85</v>
      </c>
    </row>
    <row r="3" spans="1:5" x14ac:dyDescent="0.25">
      <c r="A3" t="s">
        <v>84</v>
      </c>
      <c r="B3">
        <v>2</v>
      </c>
      <c r="C3">
        <v>95.24</v>
      </c>
      <c r="D3">
        <v>2</v>
      </c>
      <c r="E3" t="s">
        <v>85</v>
      </c>
    </row>
    <row r="4" spans="1:5" x14ac:dyDescent="0.25">
      <c r="A4" t="s">
        <v>84</v>
      </c>
      <c r="B4">
        <v>3</v>
      </c>
      <c r="C4">
        <v>88</v>
      </c>
      <c r="D4">
        <v>2</v>
      </c>
      <c r="E4" t="s">
        <v>85</v>
      </c>
    </row>
    <row r="5" spans="1:5" x14ac:dyDescent="0.25">
      <c r="A5" t="s">
        <v>84</v>
      </c>
      <c r="B5">
        <v>4</v>
      </c>
      <c r="C5">
        <v>83.81</v>
      </c>
      <c r="D5">
        <v>2</v>
      </c>
      <c r="E5" t="s">
        <v>85</v>
      </c>
    </row>
    <row r="6" spans="1:5" x14ac:dyDescent="0.25">
      <c r="A6" t="s">
        <v>84</v>
      </c>
      <c r="B6">
        <v>5</v>
      </c>
      <c r="C6">
        <v>93.65</v>
      </c>
      <c r="D6">
        <v>2</v>
      </c>
      <c r="E6" t="s">
        <v>85</v>
      </c>
    </row>
    <row r="7" spans="1:5" x14ac:dyDescent="0.25">
      <c r="A7" t="s">
        <v>84</v>
      </c>
      <c r="B7">
        <v>6</v>
      </c>
      <c r="C7">
        <v>87.33</v>
      </c>
      <c r="D7">
        <v>2</v>
      </c>
      <c r="E7" t="s">
        <v>85</v>
      </c>
    </row>
    <row r="8" spans="1:5" x14ac:dyDescent="0.25">
      <c r="A8" t="s">
        <v>84</v>
      </c>
      <c r="B8">
        <v>7</v>
      </c>
      <c r="C8">
        <v>85.94</v>
      </c>
      <c r="D8">
        <v>2</v>
      </c>
      <c r="E8" t="s">
        <v>85</v>
      </c>
    </row>
    <row r="9" spans="1:5" x14ac:dyDescent="0.25">
      <c r="A9" t="s">
        <v>84</v>
      </c>
      <c r="B9">
        <v>8</v>
      </c>
      <c r="C9">
        <v>85.94</v>
      </c>
      <c r="D9">
        <v>2</v>
      </c>
      <c r="E9" t="s">
        <v>85</v>
      </c>
    </row>
    <row r="10" spans="1:5" x14ac:dyDescent="0.25">
      <c r="A10" t="s">
        <v>84</v>
      </c>
      <c r="B10">
        <v>9</v>
      </c>
      <c r="C10">
        <v>96.07</v>
      </c>
      <c r="D10">
        <v>2</v>
      </c>
      <c r="E10" t="s">
        <v>85</v>
      </c>
    </row>
    <row r="11" spans="1:5" x14ac:dyDescent="0.25">
      <c r="A11" t="s">
        <v>84</v>
      </c>
      <c r="B11">
        <v>10</v>
      </c>
      <c r="C11">
        <v>96.07</v>
      </c>
      <c r="D11">
        <v>2</v>
      </c>
      <c r="E11" t="s">
        <v>85</v>
      </c>
    </row>
    <row r="12" spans="1:5" x14ac:dyDescent="0.25">
      <c r="A12" t="s">
        <v>84</v>
      </c>
      <c r="B12">
        <v>11</v>
      </c>
      <c r="C12">
        <v>94</v>
      </c>
      <c r="D12">
        <v>2</v>
      </c>
      <c r="E12" t="s">
        <v>85</v>
      </c>
    </row>
    <row r="13" spans="1:5" x14ac:dyDescent="0.25">
      <c r="A13" t="s">
        <v>84</v>
      </c>
      <c r="B13">
        <v>12</v>
      </c>
      <c r="C13">
        <v>93.54</v>
      </c>
      <c r="D13">
        <v>2</v>
      </c>
      <c r="E13" t="s">
        <v>85</v>
      </c>
    </row>
    <row r="14" spans="1:5" x14ac:dyDescent="0.25">
      <c r="A14" t="s">
        <v>84</v>
      </c>
      <c r="B14">
        <v>13</v>
      </c>
      <c r="C14">
        <v>97.32</v>
      </c>
      <c r="D14">
        <v>2</v>
      </c>
      <c r="E14" t="s">
        <v>85</v>
      </c>
    </row>
    <row r="15" spans="1:5" x14ac:dyDescent="0.25">
      <c r="A15" t="s">
        <v>84</v>
      </c>
      <c r="B15">
        <v>14</v>
      </c>
      <c r="C15">
        <v>97.32</v>
      </c>
      <c r="D15">
        <v>2</v>
      </c>
      <c r="E15" t="s">
        <v>85</v>
      </c>
    </row>
    <row r="16" spans="1:5" x14ac:dyDescent="0.25">
      <c r="A16" t="s">
        <v>84</v>
      </c>
      <c r="B16">
        <v>15</v>
      </c>
      <c r="C16">
        <v>97.32</v>
      </c>
      <c r="D16">
        <v>2</v>
      </c>
      <c r="E16" t="s">
        <v>85</v>
      </c>
    </row>
    <row r="17" spans="1:5" x14ac:dyDescent="0.25">
      <c r="A17" t="s">
        <v>84</v>
      </c>
      <c r="B17">
        <v>16</v>
      </c>
      <c r="C17">
        <v>97.32</v>
      </c>
      <c r="D17">
        <v>2</v>
      </c>
      <c r="E17" t="s">
        <v>85</v>
      </c>
    </row>
    <row r="18" spans="1:5" x14ac:dyDescent="0.25">
      <c r="A18" t="s">
        <v>84</v>
      </c>
      <c r="B18">
        <v>17</v>
      </c>
      <c r="C18">
        <v>99.9</v>
      </c>
      <c r="D18">
        <v>0.1</v>
      </c>
      <c r="E18" t="s">
        <v>85</v>
      </c>
    </row>
    <row r="19" spans="1:5" x14ac:dyDescent="0.25">
      <c r="A19" t="s">
        <v>84</v>
      </c>
      <c r="B19">
        <v>18</v>
      </c>
      <c r="C19">
        <v>100</v>
      </c>
      <c r="D19">
        <v>0.1</v>
      </c>
      <c r="E19" t="s">
        <v>85</v>
      </c>
    </row>
    <row r="20" spans="1:5" x14ac:dyDescent="0.25">
      <c r="A20" t="s">
        <v>84</v>
      </c>
      <c r="B20">
        <v>19</v>
      </c>
      <c r="C20">
        <v>99.9</v>
      </c>
      <c r="D20">
        <v>0.1</v>
      </c>
      <c r="E20" t="s">
        <v>85</v>
      </c>
    </row>
    <row r="21" spans="1:5" x14ac:dyDescent="0.25">
      <c r="A21" t="s">
        <v>84</v>
      </c>
      <c r="B21">
        <v>20</v>
      </c>
      <c r="C21">
        <v>99.9</v>
      </c>
      <c r="D21">
        <v>0.1</v>
      </c>
      <c r="E21" t="s">
        <v>85</v>
      </c>
    </row>
    <row r="22" spans="1:5" x14ac:dyDescent="0.25">
      <c r="A22" t="s">
        <v>84</v>
      </c>
      <c r="B22">
        <v>21</v>
      </c>
      <c r="C22">
        <v>88</v>
      </c>
      <c r="D22">
        <v>2</v>
      </c>
      <c r="E22" t="s">
        <v>85</v>
      </c>
    </row>
    <row r="23" spans="1:5" x14ac:dyDescent="0.25">
      <c r="A23" t="s">
        <v>84</v>
      </c>
      <c r="B23">
        <v>22</v>
      </c>
      <c r="C23">
        <v>94</v>
      </c>
      <c r="D23">
        <v>2</v>
      </c>
      <c r="E23" t="s">
        <v>85</v>
      </c>
    </row>
    <row r="24" spans="1:5" x14ac:dyDescent="0.25">
      <c r="A24" t="s">
        <v>84</v>
      </c>
      <c r="B24">
        <v>23</v>
      </c>
      <c r="C24">
        <v>94</v>
      </c>
      <c r="D24">
        <v>2</v>
      </c>
      <c r="E24" t="s">
        <v>85</v>
      </c>
    </row>
    <row r="25" spans="1:5" x14ac:dyDescent="0.25">
      <c r="A25" t="s">
        <v>84</v>
      </c>
      <c r="B25">
        <v>24</v>
      </c>
      <c r="C25">
        <v>94</v>
      </c>
      <c r="D25">
        <v>2</v>
      </c>
      <c r="E25" t="s">
        <v>85</v>
      </c>
    </row>
    <row r="26" spans="1:5" x14ac:dyDescent="0.25">
      <c r="A26" t="s">
        <v>84</v>
      </c>
      <c r="B26">
        <v>25</v>
      </c>
      <c r="C26">
        <v>97.32</v>
      </c>
      <c r="D26">
        <v>2</v>
      </c>
      <c r="E26" t="s">
        <v>85</v>
      </c>
    </row>
    <row r="27" spans="1:5" x14ac:dyDescent="0.25">
      <c r="A27" t="s">
        <v>84</v>
      </c>
      <c r="B27">
        <v>26</v>
      </c>
      <c r="C27">
        <v>103.56</v>
      </c>
      <c r="D27">
        <v>2</v>
      </c>
      <c r="E27" t="s">
        <v>85</v>
      </c>
    </row>
    <row r="28" spans="1:5" x14ac:dyDescent="0.25">
      <c r="A28" t="s">
        <v>84</v>
      </c>
      <c r="B28">
        <v>27</v>
      </c>
      <c r="C28">
        <v>115.61</v>
      </c>
      <c r="D28">
        <v>2</v>
      </c>
      <c r="E28" t="s">
        <v>85</v>
      </c>
    </row>
    <row r="29" spans="1:5" x14ac:dyDescent="0.25">
      <c r="A29" t="s">
        <v>84</v>
      </c>
      <c r="B29">
        <v>28</v>
      </c>
      <c r="C29">
        <v>118</v>
      </c>
      <c r="D29">
        <v>2</v>
      </c>
      <c r="E29" t="s">
        <v>85</v>
      </c>
    </row>
    <row r="30" spans="1:5" x14ac:dyDescent="0.25">
      <c r="A30" t="s">
        <v>84</v>
      </c>
      <c r="B30">
        <v>29</v>
      </c>
      <c r="C30">
        <v>130.16999999999999</v>
      </c>
      <c r="D30">
        <v>2</v>
      </c>
      <c r="E30" t="s">
        <v>85</v>
      </c>
    </row>
    <row r="31" spans="1:5" x14ac:dyDescent="0.25">
      <c r="A31" t="s">
        <v>84</v>
      </c>
      <c r="B31">
        <v>30</v>
      </c>
      <c r="C31">
        <v>130.16999999999999</v>
      </c>
      <c r="D31">
        <v>2</v>
      </c>
      <c r="E31" t="s">
        <v>85</v>
      </c>
    </row>
    <row r="32" spans="1:5" x14ac:dyDescent="0.25">
      <c r="A32" t="s">
        <v>84</v>
      </c>
      <c r="B32">
        <v>31</v>
      </c>
      <c r="C32">
        <v>143.1</v>
      </c>
      <c r="D32">
        <v>2</v>
      </c>
      <c r="E32" t="s">
        <v>85</v>
      </c>
    </row>
    <row r="33" spans="1:5" x14ac:dyDescent="0.25">
      <c r="A33" t="s">
        <v>84</v>
      </c>
      <c r="B33">
        <v>32</v>
      </c>
      <c r="C33">
        <v>147.69</v>
      </c>
      <c r="D33">
        <v>0.1</v>
      </c>
      <c r="E33" t="s">
        <v>85</v>
      </c>
    </row>
    <row r="34" spans="1:5" x14ac:dyDescent="0.25">
      <c r="A34" t="s">
        <v>84</v>
      </c>
      <c r="B34">
        <v>33</v>
      </c>
      <c r="C34">
        <v>148</v>
      </c>
      <c r="D34">
        <v>0.1</v>
      </c>
      <c r="E34" t="s">
        <v>85</v>
      </c>
    </row>
    <row r="35" spans="1:5" x14ac:dyDescent="0.25">
      <c r="A35" t="s">
        <v>84</v>
      </c>
      <c r="B35">
        <v>34</v>
      </c>
      <c r="C35">
        <v>145</v>
      </c>
      <c r="D35">
        <v>2</v>
      </c>
      <c r="E35" t="s">
        <v>85</v>
      </c>
    </row>
    <row r="36" spans="1:5" x14ac:dyDescent="0.25">
      <c r="A36" t="s">
        <v>84</v>
      </c>
      <c r="B36">
        <v>35</v>
      </c>
      <c r="C36">
        <v>136.5</v>
      </c>
      <c r="D36">
        <v>2</v>
      </c>
      <c r="E36" t="s">
        <v>85</v>
      </c>
    </row>
    <row r="37" spans="1:5" x14ac:dyDescent="0.25">
      <c r="A37" t="s">
        <v>84</v>
      </c>
      <c r="B37">
        <v>36</v>
      </c>
      <c r="C37">
        <v>127</v>
      </c>
      <c r="D37">
        <v>2</v>
      </c>
      <c r="E37" t="s">
        <v>85</v>
      </c>
    </row>
    <row r="38" spans="1:5" x14ac:dyDescent="0.25">
      <c r="A38" t="s">
        <v>84</v>
      </c>
      <c r="B38">
        <v>37</v>
      </c>
      <c r="C38">
        <v>139.88999999999999</v>
      </c>
      <c r="D38">
        <v>0.1</v>
      </c>
      <c r="E38" t="s">
        <v>85</v>
      </c>
    </row>
    <row r="39" spans="1:5" x14ac:dyDescent="0.25">
      <c r="A39" t="s">
        <v>84</v>
      </c>
      <c r="B39">
        <v>38</v>
      </c>
      <c r="C39">
        <v>145.19</v>
      </c>
      <c r="D39">
        <v>0.1</v>
      </c>
      <c r="E39" t="s">
        <v>85</v>
      </c>
    </row>
    <row r="40" spans="1:5" x14ac:dyDescent="0.25">
      <c r="A40" t="s">
        <v>84</v>
      </c>
      <c r="B40">
        <v>39</v>
      </c>
      <c r="C40">
        <v>122</v>
      </c>
      <c r="D40">
        <v>2</v>
      </c>
      <c r="E40" t="s">
        <v>85</v>
      </c>
    </row>
    <row r="41" spans="1:5" x14ac:dyDescent="0.25">
      <c r="A41" t="s">
        <v>84</v>
      </c>
      <c r="B41">
        <v>40</v>
      </c>
      <c r="C41">
        <v>114.48</v>
      </c>
      <c r="D41">
        <v>2</v>
      </c>
      <c r="E41" t="s">
        <v>85</v>
      </c>
    </row>
    <row r="42" spans="1:5" x14ac:dyDescent="0.25">
      <c r="A42" t="s">
        <v>84</v>
      </c>
      <c r="B42">
        <v>41</v>
      </c>
      <c r="C42">
        <v>115.6</v>
      </c>
      <c r="D42">
        <v>0.1</v>
      </c>
      <c r="E42" t="s">
        <v>85</v>
      </c>
    </row>
    <row r="43" spans="1:5" x14ac:dyDescent="0.25">
      <c r="A43" t="s">
        <v>84</v>
      </c>
      <c r="B43">
        <v>42</v>
      </c>
      <c r="C43">
        <v>114.48</v>
      </c>
      <c r="D43">
        <v>0.1</v>
      </c>
      <c r="E43" t="s">
        <v>85</v>
      </c>
    </row>
    <row r="44" spans="1:5" x14ac:dyDescent="0.25">
      <c r="A44" t="s">
        <v>84</v>
      </c>
      <c r="B44">
        <v>43</v>
      </c>
      <c r="C44">
        <v>110</v>
      </c>
      <c r="D44">
        <v>2</v>
      </c>
      <c r="E44" t="s">
        <v>85</v>
      </c>
    </row>
    <row r="45" spans="1:5" x14ac:dyDescent="0.25">
      <c r="A45" t="s">
        <v>84</v>
      </c>
      <c r="B45">
        <v>44</v>
      </c>
      <c r="C45">
        <v>105</v>
      </c>
      <c r="D45">
        <v>2</v>
      </c>
      <c r="E45" t="s">
        <v>85</v>
      </c>
    </row>
    <row r="46" spans="1:5" x14ac:dyDescent="0.25">
      <c r="A46" t="s">
        <v>84</v>
      </c>
      <c r="B46">
        <v>45</v>
      </c>
      <c r="C46">
        <v>114.48</v>
      </c>
      <c r="D46">
        <v>2</v>
      </c>
      <c r="E46" t="s">
        <v>85</v>
      </c>
    </row>
    <row r="47" spans="1:5" x14ac:dyDescent="0.25">
      <c r="A47" t="s">
        <v>84</v>
      </c>
      <c r="B47">
        <v>46</v>
      </c>
      <c r="C47">
        <v>113.14</v>
      </c>
      <c r="D47">
        <v>2</v>
      </c>
      <c r="E47" t="s">
        <v>85</v>
      </c>
    </row>
    <row r="48" spans="1:5" x14ac:dyDescent="0.25">
      <c r="A48" t="s">
        <v>84</v>
      </c>
      <c r="B48">
        <v>47</v>
      </c>
      <c r="C48">
        <v>108.95</v>
      </c>
      <c r="D48">
        <v>2</v>
      </c>
      <c r="E48" t="s">
        <v>85</v>
      </c>
    </row>
    <row r="49" spans="1:5" x14ac:dyDescent="0.25">
      <c r="A49" t="s">
        <v>84</v>
      </c>
      <c r="B49">
        <v>48</v>
      </c>
      <c r="C49">
        <v>99.54</v>
      </c>
      <c r="D49">
        <v>2</v>
      </c>
      <c r="E49" t="s">
        <v>85</v>
      </c>
    </row>
    <row r="50" spans="1:5" x14ac:dyDescent="0.25">
      <c r="A50" t="s">
        <v>84</v>
      </c>
      <c r="B50">
        <v>49</v>
      </c>
      <c r="C50">
        <v>101</v>
      </c>
      <c r="D50">
        <v>2</v>
      </c>
      <c r="E50" t="s">
        <v>85</v>
      </c>
    </row>
    <row r="51" spans="1:5" x14ac:dyDescent="0.25">
      <c r="A51" t="s">
        <v>84</v>
      </c>
      <c r="B51">
        <v>50</v>
      </c>
      <c r="C51">
        <v>100.88</v>
      </c>
      <c r="D51">
        <v>2</v>
      </c>
      <c r="E51" t="s">
        <v>85</v>
      </c>
    </row>
    <row r="52" spans="1:5" x14ac:dyDescent="0.25">
      <c r="A52" t="s">
        <v>84</v>
      </c>
      <c r="B52">
        <v>51</v>
      </c>
      <c r="C52">
        <v>100.48</v>
      </c>
      <c r="D52">
        <v>2</v>
      </c>
      <c r="E52" t="s">
        <v>85</v>
      </c>
    </row>
    <row r="53" spans="1:5" x14ac:dyDescent="0.25">
      <c r="A53" t="s">
        <v>84</v>
      </c>
      <c r="B53">
        <v>52</v>
      </c>
      <c r="C53">
        <v>100.48</v>
      </c>
      <c r="D53">
        <v>2</v>
      </c>
      <c r="E53" t="s">
        <v>85</v>
      </c>
    </row>
    <row r="54" spans="1:5" x14ac:dyDescent="0.25">
      <c r="A54" t="s">
        <v>84</v>
      </c>
      <c r="B54">
        <v>53</v>
      </c>
      <c r="C54">
        <v>99.18</v>
      </c>
      <c r="D54">
        <v>2</v>
      </c>
      <c r="E54" t="s">
        <v>85</v>
      </c>
    </row>
    <row r="55" spans="1:5" x14ac:dyDescent="0.25">
      <c r="A55" t="s">
        <v>84</v>
      </c>
      <c r="B55">
        <v>54</v>
      </c>
      <c r="C55">
        <v>100.49</v>
      </c>
      <c r="D55">
        <v>2</v>
      </c>
      <c r="E55" t="s">
        <v>85</v>
      </c>
    </row>
    <row r="56" spans="1:5" x14ac:dyDescent="0.25">
      <c r="A56" t="s">
        <v>84</v>
      </c>
      <c r="B56">
        <v>55</v>
      </c>
      <c r="C56">
        <v>101.62</v>
      </c>
      <c r="D56">
        <v>0.1</v>
      </c>
      <c r="E56" t="s">
        <v>85</v>
      </c>
    </row>
    <row r="57" spans="1:5" x14ac:dyDescent="0.25">
      <c r="A57" t="s">
        <v>84</v>
      </c>
      <c r="B57">
        <v>56</v>
      </c>
      <c r="C57">
        <v>101.62</v>
      </c>
      <c r="D57">
        <v>0.1</v>
      </c>
      <c r="E57" t="s">
        <v>85</v>
      </c>
    </row>
    <row r="58" spans="1:5" x14ac:dyDescent="0.25">
      <c r="A58" t="s">
        <v>84</v>
      </c>
      <c r="B58">
        <v>57</v>
      </c>
      <c r="C58">
        <v>99.15</v>
      </c>
      <c r="D58">
        <v>2</v>
      </c>
      <c r="E58" t="s">
        <v>85</v>
      </c>
    </row>
    <row r="59" spans="1:5" x14ac:dyDescent="0.25">
      <c r="A59" t="s">
        <v>84</v>
      </c>
      <c r="B59">
        <v>58</v>
      </c>
      <c r="C59">
        <v>98.1</v>
      </c>
      <c r="D59">
        <v>2</v>
      </c>
      <c r="E59" t="s">
        <v>85</v>
      </c>
    </row>
    <row r="60" spans="1:5" x14ac:dyDescent="0.25">
      <c r="A60" t="s">
        <v>84</v>
      </c>
      <c r="B60">
        <v>59</v>
      </c>
      <c r="C60">
        <v>98.6</v>
      </c>
      <c r="D60">
        <v>2</v>
      </c>
      <c r="E60" t="s">
        <v>85</v>
      </c>
    </row>
    <row r="61" spans="1:5" x14ac:dyDescent="0.25">
      <c r="A61" t="s">
        <v>84</v>
      </c>
      <c r="B61">
        <v>60</v>
      </c>
      <c r="C61">
        <v>99.15</v>
      </c>
      <c r="D61">
        <v>2</v>
      </c>
      <c r="E61" t="s">
        <v>85</v>
      </c>
    </row>
    <row r="62" spans="1:5" x14ac:dyDescent="0.25">
      <c r="A62" t="s">
        <v>84</v>
      </c>
      <c r="B62">
        <v>61</v>
      </c>
      <c r="C62">
        <v>99.77</v>
      </c>
      <c r="D62">
        <v>2</v>
      </c>
      <c r="E62" t="s">
        <v>85</v>
      </c>
    </row>
    <row r="63" spans="1:5" x14ac:dyDescent="0.25">
      <c r="A63" t="s">
        <v>84</v>
      </c>
      <c r="B63">
        <v>62</v>
      </c>
      <c r="C63">
        <v>101.8</v>
      </c>
      <c r="D63">
        <v>2</v>
      </c>
      <c r="E63" t="s">
        <v>85</v>
      </c>
    </row>
    <row r="64" spans="1:5" x14ac:dyDescent="0.25">
      <c r="A64" t="s">
        <v>84</v>
      </c>
      <c r="B64">
        <v>63</v>
      </c>
      <c r="C64">
        <v>107</v>
      </c>
      <c r="D64">
        <v>2</v>
      </c>
      <c r="E64" t="s">
        <v>85</v>
      </c>
    </row>
    <row r="65" spans="1:5" x14ac:dyDescent="0.25">
      <c r="A65" t="s">
        <v>84</v>
      </c>
      <c r="B65">
        <v>64</v>
      </c>
      <c r="C65">
        <v>108.56</v>
      </c>
      <c r="D65">
        <v>2</v>
      </c>
      <c r="E65" t="s">
        <v>85</v>
      </c>
    </row>
    <row r="66" spans="1:5" x14ac:dyDescent="0.25">
      <c r="A66" t="s">
        <v>84</v>
      </c>
      <c r="B66">
        <v>65</v>
      </c>
      <c r="C66">
        <v>103.37</v>
      </c>
      <c r="D66">
        <v>2</v>
      </c>
      <c r="E66" t="s">
        <v>85</v>
      </c>
    </row>
    <row r="67" spans="1:5" x14ac:dyDescent="0.25">
      <c r="A67" t="s">
        <v>84</v>
      </c>
      <c r="B67">
        <v>66</v>
      </c>
      <c r="C67">
        <v>108</v>
      </c>
      <c r="D67">
        <v>2</v>
      </c>
      <c r="E67" t="s">
        <v>85</v>
      </c>
    </row>
    <row r="68" spans="1:5" x14ac:dyDescent="0.25">
      <c r="A68" t="s">
        <v>84</v>
      </c>
      <c r="B68">
        <v>67</v>
      </c>
      <c r="C68">
        <v>113.87</v>
      </c>
      <c r="D68">
        <v>2</v>
      </c>
      <c r="E68" t="s">
        <v>85</v>
      </c>
    </row>
    <row r="69" spans="1:5" x14ac:dyDescent="0.25">
      <c r="A69" t="s">
        <v>84</v>
      </c>
      <c r="B69">
        <v>68</v>
      </c>
      <c r="C69">
        <v>118</v>
      </c>
      <c r="D69">
        <v>2</v>
      </c>
      <c r="E69" t="s">
        <v>85</v>
      </c>
    </row>
    <row r="70" spans="1:5" x14ac:dyDescent="0.25">
      <c r="A70" t="s">
        <v>84</v>
      </c>
      <c r="B70">
        <v>69</v>
      </c>
      <c r="C70">
        <v>112</v>
      </c>
      <c r="D70">
        <v>2</v>
      </c>
      <c r="E70" t="s">
        <v>85</v>
      </c>
    </row>
    <row r="71" spans="1:5" x14ac:dyDescent="0.25">
      <c r="A71" t="s">
        <v>84</v>
      </c>
      <c r="B71">
        <v>70</v>
      </c>
      <c r="C71">
        <v>115.9</v>
      </c>
      <c r="D71">
        <v>2</v>
      </c>
      <c r="E71" t="s">
        <v>85</v>
      </c>
    </row>
    <row r="72" spans="1:5" x14ac:dyDescent="0.25">
      <c r="A72" t="s">
        <v>84</v>
      </c>
      <c r="B72">
        <v>71</v>
      </c>
      <c r="C72">
        <v>128</v>
      </c>
      <c r="D72">
        <v>0.1</v>
      </c>
      <c r="E72" t="s">
        <v>85</v>
      </c>
    </row>
    <row r="73" spans="1:5" x14ac:dyDescent="0.25">
      <c r="A73" t="s">
        <v>84</v>
      </c>
      <c r="B73">
        <v>72</v>
      </c>
      <c r="C73">
        <v>139.56</v>
      </c>
      <c r="D73">
        <v>0.1</v>
      </c>
      <c r="E73" t="s">
        <v>85</v>
      </c>
    </row>
    <row r="74" spans="1:5" x14ac:dyDescent="0.25">
      <c r="A74" t="s">
        <v>84</v>
      </c>
      <c r="B74">
        <v>73</v>
      </c>
      <c r="C74">
        <v>120.5</v>
      </c>
      <c r="D74">
        <v>2</v>
      </c>
      <c r="E74" t="s">
        <v>85</v>
      </c>
    </row>
    <row r="75" spans="1:5" x14ac:dyDescent="0.25">
      <c r="A75" t="s">
        <v>84</v>
      </c>
      <c r="B75">
        <v>74</v>
      </c>
      <c r="C75">
        <v>123</v>
      </c>
      <c r="D75">
        <v>2</v>
      </c>
      <c r="E75" t="s">
        <v>85</v>
      </c>
    </row>
    <row r="76" spans="1:5" x14ac:dyDescent="0.25">
      <c r="A76" t="s">
        <v>84</v>
      </c>
      <c r="B76">
        <v>75</v>
      </c>
      <c r="C76">
        <v>131.35</v>
      </c>
      <c r="D76">
        <v>0.1</v>
      </c>
      <c r="E76" t="s">
        <v>85</v>
      </c>
    </row>
    <row r="77" spans="1:5" x14ac:dyDescent="0.25">
      <c r="A77" t="s">
        <v>84</v>
      </c>
      <c r="B77">
        <v>76</v>
      </c>
      <c r="C77">
        <v>140</v>
      </c>
      <c r="D77">
        <v>0.1</v>
      </c>
      <c r="E77" t="s">
        <v>85</v>
      </c>
    </row>
    <row r="78" spans="1:5" x14ac:dyDescent="0.25">
      <c r="A78" t="s">
        <v>84</v>
      </c>
      <c r="B78">
        <v>77</v>
      </c>
      <c r="C78">
        <v>128.88</v>
      </c>
      <c r="D78">
        <v>2</v>
      </c>
      <c r="E78" t="s">
        <v>85</v>
      </c>
    </row>
    <row r="79" spans="1:5" x14ac:dyDescent="0.25">
      <c r="A79" t="s">
        <v>84</v>
      </c>
      <c r="B79">
        <v>78</v>
      </c>
      <c r="C79">
        <v>141.74</v>
      </c>
      <c r="D79">
        <v>2</v>
      </c>
      <c r="E79" t="s">
        <v>85</v>
      </c>
    </row>
    <row r="80" spans="1:5" x14ac:dyDescent="0.25">
      <c r="A80" t="s">
        <v>84</v>
      </c>
      <c r="B80">
        <v>79</v>
      </c>
      <c r="C80">
        <v>165.74</v>
      </c>
      <c r="D80">
        <v>2</v>
      </c>
      <c r="E80" t="s">
        <v>85</v>
      </c>
    </row>
    <row r="81" spans="1:5" x14ac:dyDescent="0.25">
      <c r="A81" t="s">
        <v>84</v>
      </c>
      <c r="B81">
        <v>80</v>
      </c>
      <c r="C81">
        <v>167.24</v>
      </c>
      <c r="D81">
        <v>2</v>
      </c>
      <c r="E81" t="s">
        <v>85</v>
      </c>
    </row>
    <row r="82" spans="1:5" x14ac:dyDescent="0.25">
      <c r="A82" t="s">
        <v>84</v>
      </c>
      <c r="B82">
        <v>81</v>
      </c>
      <c r="C82">
        <v>155.82</v>
      </c>
      <c r="D82">
        <v>0.1</v>
      </c>
      <c r="E82" t="s">
        <v>85</v>
      </c>
    </row>
    <row r="83" spans="1:5" x14ac:dyDescent="0.25">
      <c r="A83" t="s">
        <v>84</v>
      </c>
      <c r="B83">
        <v>82</v>
      </c>
      <c r="C83">
        <v>139.1</v>
      </c>
      <c r="D83">
        <v>2</v>
      </c>
      <c r="E83" t="s">
        <v>85</v>
      </c>
    </row>
    <row r="84" spans="1:5" x14ac:dyDescent="0.25">
      <c r="A84" t="s">
        <v>84</v>
      </c>
      <c r="B84">
        <v>83</v>
      </c>
      <c r="C84">
        <v>128</v>
      </c>
      <c r="D84">
        <v>2</v>
      </c>
      <c r="E84" t="s">
        <v>85</v>
      </c>
    </row>
    <row r="85" spans="1:5" x14ac:dyDescent="0.25">
      <c r="A85" t="s">
        <v>84</v>
      </c>
      <c r="B85">
        <v>84</v>
      </c>
      <c r="C85">
        <v>125.09</v>
      </c>
      <c r="D85">
        <v>2</v>
      </c>
      <c r="E85" t="s">
        <v>85</v>
      </c>
    </row>
    <row r="86" spans="1:5" x14ac:dyDescent="0.25">
      <c r="A86" t="s">
        <v>84</v>
      </c>
      <c r="B86">
        <v>85</v>
      </c>
      <c r="C86">
        <v>117</v>
      </c>
      <c r="D86">
        <v>0.1</v>
      </c>
      <c r="E86" t="s">
        <v>85</v>
      </c>
    </row>
    <row r="87" spans="1:5" x14ac:dyDescent="0.25">
      <c r="A87" t="s">
        <v>84</v>
      </c>
      <c r="B87">
        <v>86</v>
      </c>
      <c r="C87">
        <v>112.52</v>
      </c>
      <c r="D87">
        <v>2</v>
      </c>
      <c r="E87" t="s">
        <v>85</v>
      </c>
    </row>
    <row r="88" spans="1:5" x14ac:dyDescent="0.25">
      <c r="A88" t="s">
        <v>84</v>
      </c>
      <c r="B88">
        <v>87</v>
      </c>
      <c r="C88">
        <v>103</v>
      </c>
      <c r="D88">
        <v>2</v>
      </c>
      <c r="E88" t="s">
        <v>85</v>
      </c>
    </row>
    <row r="89" spans="1:5" x14ac:dyDescent="0.25">
      <c r="A89" t="s">
        <v>84</v>
      </c>
      <c r="B89">
        <v>88</v>
      </c>
      <c r="C89">
        <v>100.67</v>
      </c>
      <c r="D89">
        <v>2</v>
      </c>
      <c r="E89" t="s">
        <v>85</v>
      </c>
    </row>
    <row r="90" spans="1:5" x14ac:dyDescent="0.25">
      <c r="A90" t="s">
        <v>84</v>
      </c>
      <c r="B90">
        <v>89</v>
      </c>
      <c r="C90">
        <v>101</v>
      </c>
      <c r="D90">
        <v>2</v>
      </c>
      <c r="E90" t="s">
        <v>85</v>
      </c>
    </row>
    <row r="91" spans="1:5" x14ac:dyDescent="0.25">
      <c r="A91" t="s">
        <v>84</v>
      </c>
      <c r="B91">
        <v>90</v>
      </c>
      <c r="C91">
        <v>100.84</v>
      </c>
      <c r="D91">
        <v>2</v>
      </c>
      <c r="E91" t="s">
        <v>85</v>
      </c>
    </row>
    <row r="92" spans="1:5" x14ac:dyDescent="0.25">
      <c r="A92" t="s">
        <v>84</v>
      </c>
      <c r="B92">
        <v>91</v>
      </c>
      <c r="C92">
        <v>98.66</v>
      </c>
      <c r="D92">
        <v>2</v>
      </c>
      <c r="E92" t="s">
        <v>85</v>
      </c>
    </row>
    <row r="93" spans="1:5" x14ac:dyDescent="0.25">
      <c r="A93" t="s">
        <v>84</v>
      </c>
      <c r="B93">
        <v>92</v>
      </c>
      <c r="C93">
        <v>98.66</v>
      </c>
      <c r="D93">
        <v>2</v>
      </c>
      <c r="E93" t="s">
        <v>85</v>
      </c>
    </row>
    <row r="94" spans="1:5" x14ac:dyDescent="0.25">
      <c r="A94" t="s">
        <v>84</v>
      </c>
      <c r="B94">
        <v>93</v>
      </c>
      <c r="C94">
        <v>103.76</v>
      </c>
      <c r="D94">
        <v>2</v>
      </c>
      <c r="E94" t="s">
        <v>85</v>
      </c>
    </row>
    <row r="95" spans="1:5" x14ac:dyDescent="0.25">
      <c r="A95" t="s">
        <v>84</v>
      </c>
      <c r="B95">
        <v>94</v>
      </c>
      <c r="C95">
        <v>101</v>
      </c>
      <c r="D95">
        <v>2</v>
      </c>
      <c r="E95" t="s">
        <v>85</v>
      </c>
    </row>
    <row r="96" spans="1:5" x14ac:dyDescent="0.25">
      <c r="A96" t="s">
        <v>84</v>
      </c>
      <c r="B96">
        <v>95</v>
      </c>
      <c r="C96">
        <v>98</v>
      </c>
      <c r="D96">
        <v>2</v>
      </c>
      <c r="E96" t="s">
        <v>85</v>
      </c>
    </row>
    <row r="97" spans="1:5" x14ac:dyDescent="0.25">
      <c r="A97" t="s">
        <v>84</v>
      </c>
      <c r="B97">
        <v>96</v>
      </c>
      <c r="C97">
        <v>93.92</v>
      </c>
      <c r="D97">
        <v>2</v>
      </c>
      <c r="E97" t="s">
        <v>85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6"/>
  <dimension ref="A1:E97"/>
  <sheetViews>
    <sheetView workbookViewId="0">
      <selection sqref="A1:E97"/>
    </sheetView>
  </sheetViews>
  <sheetFormatPr defaultRowHeight="15" x14ac:dyDescent="0.25"/>
  <sheetData>
    <row r="1" spans="1:5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</row>
    <row r="2" spans="1:5" x14ac:dyDescent="0.25">
      <c r="A2" t="s">
        <v>84</v>
      </c>
      <c r="B2">
        <v>1</v>
      </c>
      <c r="C2">
        <v>83.81</v>
      </c>
      <c r="D2">
        <v>2</v>
      </c>
      <c r="E2" t="s">
        <v>85</v>
      </c>
    </row>
    <row r="3" spans="1:5" x14ac:dyDescent="0.25">
      <c r="A3" t="s">
        <v>84</v>
      </c>
      <c r="B3">
        <v>2</v>
      </c>
      <c r="C3">
        <v>95.24</v>
      </c>
      <c r="D3">
        <v>2</v>
      </c>
      <c r="E3" t="s">
        <v>85</v>
      </c>
    </row>
    <row r="4" spans="1:5" x14ac:dyDescent="0.25">
      <c r="A4" t="s">
        <v>84</v>
      </c>
      <c r="B4">
        <v>3</v>
      </c>
      <c r="C4">
        <v>88</v>
      </c>
      <c r="D4">
        <v>2</v>
      </c>
      <c r="E4" t="s">
        <v>85</v>
      </c>
    </row>
    <row r="5" spans="1:5" x14ac:dyDescent="0.25">
      <c r="A5" t="s">
        <v>84</v>
      </c>
      <c r="B5">
        <v>4</v>
      </c>
      <c r="C5">
        <v>83.81</v>
      </c>
      <c r="D5">
        <v>2</v>
      </c>
      <c r="E5" t="s">
        <v>85</v>
      </c>
    </row>
    <row r="6" spans="1:5" x14ac:dyDescent="0.25">
      <c r="A6" t="s">
        <v>84</v>
      </c>
      <c r="B6">
        <v>5</v>
      </c>
      <c r="C6">
        <v>93.65</v>
      </c>
      <c r="D6">
        <v>2</v>
      </c>
      <c r="E6" t="s">
        <v>85</v>
      </c>
    </row>
    <row r="7" spans="1:5" x14ac:dyDescent="0.25">
      <c r="A7" t="s">
        <v>84</v>
      </c>
      <c r="B7">
        <v>6</v>
      </c>
      <c r="C7">
        <v>87.33</v>
      </c>
      <c r="D7">
        <v>2</v>
      </c>
      <c r="E7" t="s">
        <v>85</v>
      </c>
    </row>
    <row r="8" spans="1:5" x14ac:dyDescent="0.25">
      <c r="A8" t="s">
        <v>84</v>
      </c>
      <c r="B8">
        <v>7</v>
      </c>
      <c r="C8">
        <v>85.94</v>
      </c>
      <c r="D8">
        <v>2</v>
      </c>
      <c r="E8" t="s">
        <v>85</v>
      </c>
    </row>
    <row r="9" spans="1:5" x14ac:dyDescent="0.25">
      <c r="A9" t="s">
        <v>84</v>
      </c>
      <c r="B9">
        <v>8</v>
      </c>
      <c r="C9">
        <v>85.94</v>
      </c>
      <c r="D9">
        <v>2</v>
      </c>
      <c r="E9" t="s">
        <v>85</v>
      </c>
    </row>
    <row r="10" spans="1:5" x14ac:dyDescent="0.25">
      <c r="A10" t="s">
        <v>84</v>
      </c>
      <c r="B10">
        <v>9</v>
      </c>
      <c r="C10">
        <v>96.07</v>
      </c>
      <c r="D10">
        <v>2</v>
      </c>
      <c r="E10" t="s">
        <v>85</v>
      </c>
    </row>
    <row r="11" spans="1:5" x14ac:dyDescent="0.25">
      <c r="A11" t="s">
        <v>84</v>
      </c>
      <c r="B11">
        <v>10</v>
      </c>
      <c r="C11">
        <v>96.07</v>
      </c>
      <c r="D11">
        <v>2</v>
      </c>
      <c r="E11" t="s">
        <v>85</v>
      </c>
    </row>
    <row r="12" spans="1:5" x14ac:dyDescent="0.25">
      <c r="A12" t="s">
        <v>84</v>
      </c>
      <c r="B12">
        <v>11</v>
      </c>
      <c r="C12">
        <v>94</v>
      </c>
      <c r="D12">
        <v>2</v>
      </c>
      <c r="E12" t="s">
        <v>85</v>
      </c>
    </row>
    <row r="13" spans="1:5" x14ac:dyDescent="0.25">
      <c r="A13" t="s">
        <v>84</v>
      </c>
      <c r="B13">
        <v>12</v>
      </c>
      <c r="C13">
        <v>93.54</v>
      </c>
      <c r="D13">
        <v>2</v>
      </c>
      <c r="E13" t="s">
        <v>85</v>
      </c>
    </row>
    <row r="14" spans="1:5" x14ac:dyDescent="0.25">
      <c r="A14" t="s">
        <v>84</v>
      </c>
      <c r="B14">
        <v>13</v>
      </c>
      <c r="C14">
        <v>97.32</v>
      </c>
      <c r="D14">
        <v>2</v>
      </c>
      <c r="E14" t="s">
        <v>85</v>
      </c>
    </row>
    <row r="15" spans="1:5" x14ac:dyDescent="0.25">
      <c r="A15" t="s">
        <v>84</v>
      </c>
      <c r="B15">
        <v>14</v>
      </c>
      <c r="C15">
        <v>97.32</v>
      </c>
      <c r="D15">
        <v>2</v>
      </c>
      <c r="E15" t="s">
        <v>85</v>
      </c>
    </row>
    <row r="16" spans="1:5" x14ac:dyDescent="0.25">
      <c r="A16" t="s">
        <v>84</v>
      </c>
      <c r="B16">
        <v>15</v>
      </c>
      <c r="C16">
        <v>97.32</v>
      </c>
      <c r="D16">
        <v>2</v>
      </c>
      <c r="E16" t="s">
        <v>85</v>
      </c>
    </row>
    <row r="17" spans="1:5" x14ac:dyDescent="0.25">
      <c r="A17" t="s">
        <v>84</v>
      </c>
      <c r="B17">
        <v>16</v>
      </c>
      <c r="C17">
        <v>97.32</v>
      </c>
      <c r="D17">
        <v>2</v>
      </c>
      <c r="E17" t="s">
        <v>85</v>
      </c>
    </row>
    <row r="18" spans="1:5" x14ac:dyDescent="0.25">
      <c r="A18" t="s">
        <v>84</v>
      </c>
      <c r="B18">
        <v>17</v>
      </c>
      <c r="C18">
        <v>99.9</v>
      </c>
      <c r="D18">
        <v>0.1</v>
      </c>
      <c r="E18" t="s">
        <v>85</v>
      </c>
    </row>
    <row r="19" spans="1:5" x14ac:dyDescent="0.25">
      <c r="A19" t="s">
        <v>84</v>
      </c>
      <c r="B19">
        <v>18</v>
      </c>
      <c r="C19">
        <v>100</v>
      </c>
      <c r="D19">
        <v>0.1</v>
      </c>
      <c r="E19" t="s">
        <v>85</v>
      </c>
    </row>
    <row r="20" spans="1:5" x14ac:dyDescent="0.25">
      <c r="A20" t="s">
        <v>84</v>
      </c>
      <c r="B20">
        <v>19</v>
      </c>
      <c r="C20">
        <v>99.9</v>
      </c>
      <c r="D20">
        <v>0.1</v>
      </c>
      <c r="E20" t="s">
        <v>85</v>
      </c>
    </row>
    <row r="21" spans="1:5" x14ac:dyDescent="0.25">
      <c r="A21" t="s">
        <v>84</v>
      </c>
      <c r="B21">
        <v>20</v>
      </c>
      <c r="C21">
        <v>99.9</v>
      </c>
      <c r="D21">
        <v>0.1</v>
      </c>
      <c r="E21" t="s">
        <v>85</v>
      </c>
    </row>
    <row r="22" spans="1:5" x14ac:dyDescent="0.25">
      <c r="A22" t="s">
        <v>84</v>
      </c>
      <c r="B22">
        <v>21</v>
      </c>
      <c r="C22">
        <v>88</v>
      </c>
      <c r="D22">
        <v>2</v>
      </c>
      <c r="E22" t="s">
        <v>85</v>
      </c>
    </row>
    <row r="23" spans="1:5" x14ac:dyDescent="0.25">
      <c r="A23" t="s">
        <v>84</v>
      </c>
      <c r="B23">
        <v>22</v>
      </c>
      <c r="C23">
        <v>94</v>
      </c>
      <c r="D23">
        <v>2</v>
      </c>
      <c r="E23" t="s">
        <v>85</v>
      </c>
    </row>
    <row r="24" spans="1:5" x14ac:dyDescent="0.25">
      <c r="A24" t="s">
        <v>84</v>
      </c>
      <c r="B24">
        <v>23</v>
      </c>
      <c r="C24">
        <v>94</v>
      </c>
      <c r="D24">
        <v>2</v>
      </c>
      <c r="E24" t="s">
        <v>85</v>
      </c>
    </row>
    <row r="25" spans="1:5" x14ac:dyDescent="0.25">
      <c r="A25" t="s">
        <v>84</v>
      </c>
      <c r="B25">
        <v>24</v>
      </c>
      <c r="C25">
        <v>94</v>
      </c>
      <c r="D25">
        <v>2</v>
      </c>
      <c r="E25" t="s">
        <v>85</v>
      </c>
    </row>
    <row r="26" spans="1:5" x14ac:dyDescent="0.25">
      <c r="A26" t="s">
        <v>84</v>
      </c>
      <c r="B26">
        <v>25</v>
      </c>
      <c r="C26">
        <v>97.32</v>
      </c>
      <c r="D26">
        <v>2</v>
      </c>
      <c r="E26" t="s">
        <v>85</v>
      </c>
    </row>
    <row r="27" spans="1:5" x14ac:dyDescent="0.25">
      <c r="A27" t="s">
        <v>84</v>
      </c>
      <c r="B27">
        <v>26</v>
      </c>
      <c r="C27">
        <v>103.56</v>
      </c>
      <c r="D27">
        <v>2</v>
      </c>
      <c r="E27" t="s">
        <v>85</v>
      </c>
    </row>
    <row r="28" spans="1:5" x14ac:dyDescent="0.25">
      <c r="A28" t="s">
        <v>84</v>
      </c>
      <c r="B28">
        <v>27</v>
      </c>
      <c r="C28">
        <v>115.61</v>
      </c>
      <c r="D28">
        <v>2</v>
      </c>
      <c r="E28" t="s">
        <v>85</v>
      </c>
    </row>
    <row r="29" spans="1:5" x14ac:dyDescent="0.25">
      <c r="A29" t="s">
        <v>84</v>
      </c>
      <c r="B29">
        <v>28</v>
      </c>
      <c r="C29">
        <v>118</v>
      </c>
      <c r="D29">
        <v>2</v>
      </c>
      <c r="E29" t="s">
        <v>85</v>
      </c>
    </row>
    <row r="30" spans="1:5" x14ac:dyDescent="0.25">
      <c r="A30" t="s">
        <v>84</v>
      </c>
      <c r="B30">
        <v>29</v>
      </c>
      <c r="C30">
        <v>130.16999999999999</v>
      </c>
      <c r="D30">
        <v>2</v>
      </c>
      <c r="E30" t="s">
        <v>85</v>
      </c>
    </row>
    <row r="31" spans="1:5" x14ac:dyDescent="0.25">
      <c r="A31" t="s">
        <v>84</v>
      </c>
      <c r="B31">
        <v>30</v>
      </c>
      <c r="C31">
        <v>130.16999999999999</v>
      </c>
      <c r="D31">
        <v>2</v>
      </c>
      <c r="E31" t="s">
        <v>85</v>
      </c>
    </row>
    <row r="32" spans="1:5" x14ac:dyDescent="0.25">
      <c r="A32" t="s">
        <v>84</v>
      </c>
      <c r="B32">
        <v>31</v>
      </c>
      <c r="C32">
        <v>143.1</v>
      </c>
      <c r="D32">
        <v>2</v>
      </c>
      <c r="E32" t="s">
        <v>85</v>
      </c>
    </row>
    <row r="33" spans="1:5" x14ac:dyDescent="0.25">
      <c r="A33" t="s">
        <v>84</v>
      </c>
      <c r="B33">
        <v>32</v>
      </c>
      <c r="C33">
        <v>147.69</v>
      </c>
      <c r="D33">
        <v>0.1</v>
      </c>
      <c r="E33" t="s">
        <v>85</v>
      </c>
    </row>
    <row r="34" spans="1:5" x14ac:dyDescent="0.25">
      <c r="A34" t="s">
        <v>84</v>
      </c>
      <c r="B34">
        <v>33</v>
      </c>
      <c r="C34">
        <v>148</v>
      </c>
      <c r="D34">
        <v>0.1</v>
      </c>
      <c r="E34" t="s">
        <v>85</v>
      </c>
    </row>
    <row r="35" spans="1:5" x14ac:dyDescent="0.25">
      <c r="A35" t="s">
        <v>84</v>
      </c>
      <c r="B35">
        <v>34</v>
      </c>
      <c r="C35">
        <v>145</v>
      </c>
      <c r="D35">
        <v>2</v>
      </c>
      <c r="E35" t="s">
        <v>85</v>
      </c>
    </row>
    <row r="36" spans="1:5" x14ac:dyDescent="0.25">
      <c r="A36" t="s">
        <v>84</v>
      </c>
      <c r="B36">
        <v>35</v>
      </c>
      <c r="C36">
        <v>136.5</v>
      </c>
      <c r="D36">
        <v>2</v>
      </c>
      <c r="E36" t="s">
        <v>85</v>
      </c>
    </row>
    <row r="37" spans="1:5" x14ac:dyDescent="0.25">
      <c r="A37" t="s">
        <v>84</v>
      </c>
      <c r="B37">
        <v>36</v>
      </c>
      <c r="C37">
        <v>127</v>
      </c>
      <c r="D37">
        <v>2</v>
      </c>
      <c r="E37" t="s">
        <v>85</v>
      </c>
    </row>
    <row r="38" spans="1:5" x14ac:dyDescent="0.25">
      <c r="A38" t="s">
        <v>84</v>
      </c>
      <c r="B38">
        <v>37</v>
      </c>
      <c r="C38">
        <v>139.88999999999999</v>
      </c>
      <c r="D38">
        <v>0.1</v>
      </c>
      <c r="E38" t="s">
        <v>85</v>
      </c>
    </row>
    <row r="39" spans="1:5" x14ac:dyDescent="0.25">
      <c r="A39" t="s">
        <v>84</v>
      </c>
      <c r="B39">
        <v>38</v>
      </c>
      <c r="C39">
        <v>145.19</v>
      </c>
      <c r="D39">
        <v>0.1</v>
      </c>
      <c r="E39" t="s">
        <v>85</v>
      </c>
    </row>
    <row r="40" spans="1:5" x14ac:dyDescent="0.25">
      <c r="A40" t="s">
        <v>84</v>
      </c>
      <c r="B40">
        <v>39</v>
      </c>
      <c r="C40">
        <v>122</v>
      </c>
      <c r="D40">
        <v>2</v>
      </c>
      <c r="E40" t="s">
        <v>85</v>
      </c>
    </row>
    <row r="41" spans="1:5" x14ac:dyDescent="0.25">
      <c r="A41" t="s">
        <v>84</v>
      </c>
      <c r="B41">
        <v>40</v>
      </c>
      <c r="C41">
        <v>114.48</v>
      </c>
      <c r="D41">
        <v>2</v>
      </c>
      <c r="E41" t="s">
        <v>85</v>
      </c>
    </row>
    <row r="42" spans="1:5" x14ac:dyDescent="0.25">
      <c r="A42" t="s">
        <v>84</v>
      </c>
      <c r="B42">
        <v>41</v>
      </c>
      <c r="C42">
        <v>115.6</v>
      </c>
      <c r="D42">
        <v>0.1</v>
      </c>
      <c r="E42" t="s">
        <v>85</v>
      </c>
    </row>
    <row r="43" spans="1:5" x14ac:dyDescent="0.25">
      <c r="A43" t="s">
        <v>84</v>
      </c>
      <c r="B43">
        <v>42</v>
      </c>
      <c r="C43">
        <v>114.48</v>
      </c>
      <c r="D43">
        <v>0.1</v>
      </c>
      <c r="E43" t="s">
        <v>85</v>
      </c>
    </row>
    <row r="44" spans="1:5" x14ac:dyDescent="0.25">
      <c r="A44" t="s">
        <v>84</v>
      </c>
      <c r="B44">
        <v>43</v>
      </c>
      <c r="C44">
        <v>110</v>
      </c>
      <c r="D44">
        <v>2</v>
      </c>
      <c r="E44" t="s">
        <v>85</v>
      </c>
    </row>
    <row r="45" spans="1:5" x14ac:dyDescent="0.25">
      <c r="A45" t="s">
        <v>84</v>
      </c>
      <c r="B45">
        <v>44</v>
      </c>
      <c r="C45">
        <v>105</v>
      </c>
      <c r="D45">
        <v>2</v>
      </c>
      <c r="E45" t="s">
        <v>85</v>
      </c>
    </row>
    <row r="46" spans="1:5" x14ac:dyDescent="0.25">
      <c r="A46" t="s">
        <v>84</v>
      </c>
      <c r="B46">
        <v>45</v>
      </c>
      <c r="C46">
        <v>114.48</v>
      </c>
      <c r="D46">
        <v>2</v>
      </c>
      <c r="E46" t="s">
        <v>85</v>
      </c>
    </row>
    <row r="47" spans="1:5" x14ac:dyDescent="0.25">
      <c r="A47" t="s">
        <v>84</v>
      </c>
      <c r="B47">
        <v>46</v>
      </c>
      <c r="C47">
        <v>113.14</v>
      </c>
      <c r="D47">
        <v>2</v>
      </c>
      <c r="E47" t="s">
        <v>85</v>
      </c>
    </row>
    <row r="48" spans="1:5" x14ac:dyDescent="0.25">
      <c r="A48" t="s">
        <v>84</v>
      </c>
      <c r="B48">
        <v>47</v>
      </c>
      <c r="C48">
        <v>108.95</v>
      </c>
      <c r="D48">
        <v>2</v>
      </c>
      <c r="E48" t="s">
        <v>85</v>
      </c>
    </row>
    <row r="49" spans="1:5" x14ac:dyDescent="0.25">
      <c r="A49" t="s">
        <v>84</v>
      </c>
      <c r="B49">
        <v>48</v>
      </c>
      <c r="C49">
        <v>99.54</v>
      </c>
      <c r="D49">
        <v>2</v>
      </c>
      <c r="E49" t="s">
        <v>85</v>
      </c>
    </row>
    <row r="50" spans="1:5" x14ac:dyDescent="0.25">
      <c r="A50" t="s">
        <v>84</v>
      </c>
      <c r="B50">
        <v>49</v>
      </c>
      <c r="C50">
        <v>101</v>
      </c>
      <c r="D50">
        <v>2</v>
      </c>
      <c r="E50" t="s">
        <v>85</v>
      </c>
    </row>
    <row r="51" spans="1:5" x14ac:dyDescent="0.25">
      <c r="A51" t="s">
        <v>84</v>
      </c>
      <c r="B51">
        <v>50</v>
      </c>
      <c r="C51">
        <v>100.88</v>
      </c>
      <c r="D51">
        <v>2</v>
      </c>
      <c r="E51" t="s">
        <v>85</v>
      </c>
    </row>
    <row r="52" spans="1:5" x14ac:dyDescent="0.25">
      <c r="A52" t="s">
        <v>84</v>
      </c>
      <c r="B52">
        <v>51</v>
      </c>
      <c r="C52">
        <v>100.48</v>
      </c>
      <c r="D52">
        <v>2</v>
      </c>
      <c r="E52" t="s">
        <v>85</v>
      </c>
    </row>
    <row r="53" spans="1:5" x14ac:dyDescent="0.25">
      <c r="A53" t="s">
        <v>84</v>
      </c>
      <c r="B53">
        <v>52</v>
      </c>
      <c r="C53">
        <v>100.48</v>
      </c>
      <c r="D53">
        <v>2</v>
      </c>
      <c r="E53" t="s">
        <v>85</v>
      </c>
    </row>
    <row r="54" spans="1:5" x14ac:dyDescent="0.25">
      <c r="A54" t="s">
        <v>84</v>
      </c>
      <c r="B54">
        <v>53</v>
      </c>
      <c r="C54">
        <v>99.18</v>
      </c>
      <c r="D54">
        <v>2</v>
      </c>
      <c r="E54" t="s">
        <v>85</v>
      </c>
    </row>
    <row r="55" spans="1:5" x14ac:dyDescent="0.25">
      <c r="A55" t="s">
        <v>84</v>
      </c>
      <c r="B55">
        <v>54</v>
      </c>
      <c r="C55">
        <v>100.49</v>
      </c>
      <c r="D55">
        <v>2</v>
      </c>
      <c r="E55" t="s">
        <v>85</v>
      </c>
    </row>
    <row r="56" spans="1:5" x14ac:dyDescent="0.25">
      <c r="A56" t="s">
        <v>84</v>
      </c>
      <c r="B56">
        <v>55</v>
      </c>
      <c r="C56">
        <v>101.62</v>
      </c>
      <c r="D56">
        <v>0.1</v>
      </c>
      <c r="E56" t="s">
        <v>85</v>
      </c>
    </row>
    <row r="57" spans="1:5" x14ac:dyDescent="0.25">
      <c r="A57" t="s">
        <v>84</v>
      </c>
      <c r="B57">
        <v>56</v>
      </c>
      <c r="C57">
        <v>101.62</v>
      </c>
      <c r="D57">
        <v>0.1</v>
      </c>
      <c r="E57" t="s">
        <v>85</v>
      </c>
    </row>
    <row r="58" spans="1:5" x14ac:dyDescent="0.25">
      <c r="A58" t="s">
        <v>84</v>
      </c>
      <c r="B58">
        <v>57</v>
      </c>
      <c r="C58">
        <v>99.15</v>
      </c>
      <c r="D58">
        <v>2</v>
      </c>
      <c r="E58" t="s">
        <v>85</v>
      </c>
    </row>
    <row r="59" spans="1:5" x14ac:dyDescent="0.25">
      <c r="A59" t="s">
        <v>84</v>
      </c>
      <c r="B59">
        <v>58</v>
      </c>
      <c r="C59">
        <v>98.1</v>
      </c>
      <c r="D59">
        <v>2</v>
      </c>
      <c r="E59" t="s">
        <v>85</v>
      </c>
    </row>
    <row r="60" spans="1:5" x14ac:dyDescent="0.25">
      <c r="A60" t="s">
        <v>84</v>
      </c>
      <c r="B60">
        <v>59</v>
      </c>
      <c r="C60">
        <v>98.6</v>
      </c>
      <c r="D60">
        <v>2</v>
      </c>
      <c r="E60" t="s">
        <v>85</v>
      </c>
    </row>
    <row r="61" spans="1:5" x14ac:dyDescent="0.25">
      <c r="A61" t="s">
        <v>84</v>
      </c>
      <c r="B61">
        <v>60</v>
      </c>
      <c r="C61">
        <v>99.15</v>
      </c>
      <c r="D61">
        <v>2</v>
      </c>
      <c r="E61" t="s">
        <v>85</v>
      </c>
    </row>
    <row r="62" spans="1:5" x14ac:dyDescent="0.25">
      <c r="A62" t="s">
        <v>84</v>
      </c>
      <c r="B62">
        <v>61</v>
      </c>
      <c r="C62">
        <v>99.77</v>
      </c>
      <c r="D62">
        <v>2</v>
      </c>
      <c r="E62" t="s">
        <v>85</v>
      </c>
    </row>
    <row r="63" spans="1:5" x14ac:dyDescent="0.25">
      <c r="A63" t="s">
        <v>84</v>
      </c>
      <c r="B63">
        <v>62</v>
      </c>
      <c r="C63">
        <v>101.8</v>
      </c>
      <c r="D63">
        <v>2</v>
      </c>
      <c r="E63" t="s">
        <v>85</v>
      </c>
    </row>
    <row r="64" spans="1:5" x14ac:dyDescent="0.25">
      <c r="A64" t="s">
        <v>84</v>
      </c>
      <c r="B64">
        <v>63</v>
      </c>
      <c r="C64">
        <v>107</v>
      </c>
      <c r="D64">
        <v>2</v>
      </c>
      <c r="E64" t="s">
        <v>85</v>
      </c>
    </row>
    <row r="65" spans="1:5" x14ac:dyDescent="0.25">
      <c r="A65" t="s">
        <v>84</v>
      </c>
      <c r="B65">
        <v>64</v>
      </c>
      <c r="C65">
        <v>108.56</v>
      </c>
      <c r="D65">
        <v>2</v>
      </c>
      <c r="E65" t="s">
        <v>85</v>
      </c>
    </row>
    <row r="66" spans="1:5" x14ac:dyDescent="0.25">
      <c r="A66" t="s">
        <v>84</v>
      </c>
      <c r="B66">
        <v>65</v>
      </c>
      <c r="C66">
        <v>103.37</v>
      </c>
      <c r="D66">
        <v>2</v>
      </c>
      <c r="E66" t="s">
        <v>85</v>
      </c>
    </row>
    <row r="67" spans="1:5" x14ac:dyDescent="0.25">
      <c r="A67" t="s">
        <v>84</v>
      </c>
      <c r="B67">
        <v>66</v>
      </c>
      <c r="C67">
        <v>108</v>
      </c>
      <c r="D67">
        <v>2</v>
      </c>
      <c r="E67" t="s">
        <v>85</v>
      </c>
    </row>
    <row r="68" spans="1:5" x14ac:dyDescent="0.25">
      <c r="A68" t="s">
        <v>84</v>
      </c>
      <c r="B68">
        <v>67</v>
      </c>
      <c r="C68">
        <v>113.87</v>
      </c>
      <c r="D68">
        <v>2</v>
      </c>
      <c r="E68" t="s">
        <v>85</v>
      </c>
    </row>
    <row r="69" spans="1:5" x14ac:dyDescent="0.25">
      <c r="A69" t="s">
        <v>84</v>
      </c>
      <c r="B69">
        <v>68</v>
      </c>
      <c r="C69">
        <v>118</v>
      </c>
      <c r="D69">
        <v>2</v>
      </c>
      <c r="E69" t="s">
        <v>85</v>
      </c>
    </row>
    <row r="70" spans="1:5" x14ac:dyDescent="0.25">
      <c r="A70" t="s">
        <v>84</v>
      </c>
      <c r="B70">
        <v>69</v>
      </c>
      <c r="C70">
        <v>112</v>
      </c>
      <c r="D70">
        <v>2</v>
      </c>
      <c r="E70" t="s">
        <v>85</v>
      </c>
    </row>
    <row r="71" spans="1:5" x14ac:dyDescent="0.25">
      <c r="A71" t="s">
        <v>84</v>
      </c>
      <c r="B71">
        <v>70</v>
      </c>
      <c r="C71">
        <v>115.9</v>
      </c>
      <c r="D71">
        <v>2</v>
      </c>
      <c r="E71" t="s">
        <v>85</v>
      </c>
    </row>
    <row r="72" spans="1:5" x14ac:dyDescent="0.25">
      <c r="A72" t="s">
        <v>84</v>
      </c>
      <c r="B72">
        <v>71</v>
      </c>
      <c r="C72">
        <v>128</v>
      </c>
      <c r="D72">
        <v>0.1</v>
      </c>
      <c r="E72" t="s">
        <v>85</v>
      </c>
    </row>
    <row r="73" spans="1:5" x14ac:dyDescent="0.25">
      <c r="A73" t="s">
        <v>84</v>
      </c>
      <c r="B73">
        <v>72</v>
      </c>
      <c r="C73">
        <v>139.56</v>
      </c>
      <c r="D73">
        <v>0.1</v>
      </c>
      <c r="E73" t="s">
        <v>85</v>
      </c>
    </row>
    <row r="74" spans="1:5" x14ac:dyDescent="0.25">
      <c r="A74" t="s">
        <v>84</v>
      </c>
      <c r="B74">
        <v>73</v>
      </c>
      <c r="C74">
        <v>120.5</v>
      </c>
      <c r="D74">
        <v>2</v>
      </c>
      <c r="E74" t="s">
        <v>85</v>
      </c>
    </row>
    <row r="75" spans="1:5" x14ac:dyDescent="0.25">
      <c r="A75" t="s">
        <v>84</v>
      </c>
      <c r="B75">
        <v>74</v>
      </c>
      <c r="C75">
        <v>123</v>
      </c>
      <c r="D75">
        <v>2</v>
      </c>
      <c r="E75" t="s">
        <v>85</v>
      </c>
    </row>
    <row r="76" spans="1:5" x14ac:dyDescent="0.25">
      <c r="A76" t="s">
        <v>84</v>
      </c>
      <c r="B76">
        <v>75</v>
      </c>
      <c r="C76">
        <v>131.35</v>
      </c>
      <c r="D76">
        <v>0.1</v>
      </c>
      <c r="E76" t="s">
        <v>85</v>
      </c>
    </row>
    <row r="77" spans="1:5" x14ac:dyDescent="0.25">
      <c r="A77" t="s">
        <v>84</v>
      </c>
      <c r="B77">
        <v>76</v>
      </c>
      <c r="C77">
        <v>140</v>
      </c>
      <c r="D77">
        <v>0.1</v>
      </c>
      <c r="E77" t="s">
        <v>85</v>
      </c>
    </row>
    <row r="78" spans="1:5" x14ac:dyDescent="0.25">
      <c r="A78" t="s">
        <v>84</v>
      </c>
      <c r="B78">
        <v>77</v>
      </c>
      <c r="C78">
        <v>128.88</v>
      </c>
      <c r="D78">
        <v>2</v>
      </c>
      <c r="E78" t="s">
        <v>85</v>
      </c>
    </row>
    <row r="79" spans="1:5" x14ac:dyDescent="0.25">
      <c r="A79" t="s">
        <v>84</v>
      </c>
      <c r="B79">
        <v>78</v>
      </c>
      <c r="C79">
        <v>141.74</v>
      </c>
      <c r="D79">
        <v>2</v>
      </c>
      <c r="E79" t="s">
        <v>85</v>
      </c>
    </row>
    <row r="80" spans="1:5" x14ac:dyDescent="0.25">
      <c r="A80" t="s">
        <v>84</v>
      </c>
      <c r="B80">
        <v>79</v>
      </c>
      <c r="C80">
        <v>165.74</v>
      </c>
      <c r="D80">
        <v>2</v>
      </c>
      <c r="E80" t="s">
        <v>85</v>
      </c>
    </row>
    <row r="81" spans="1:5" x14ac:dyDescent="0.25">
      <c r="A81" t="s">
        <v>84</v>
      </c>
      <c r="B81">
        <v>80</v>
      </c>
      <c r="C81">
        <v>167.24</v>
      </c>
      <c r="D81">
        <v>2</v>
      </c>
      <c r="E81" t="s">
        <v>85</v>
      </c>
    </row>
    <row r="82" spans="1:5" x14ac:dyDescent="0.25">
      <c r="A82" t="s">
        <v>84</v>
      </c>
      <c r="B82">
        <v>81</v>
      </c>
      <c r="C82">
        <v>155.82</v>
      </c>
      <c r="D82">
        <v>0.1</v>
      </c>
      <c r="E82" t="s">
        <v>85</v>
      </c>
    </row>
    <row r="83" spans="1:5" x14ac:dyDescent="0.25">
      <c r="A83" t="s">
        <v>84</v>
      </c>
      <c r="B83">
        <v>82</v>
      </c>
      <c r="C83">
        <v>139.1</v>
      </c>
      <c r="D83">
        <v>2</v>
      </c>
      <c r="E83" t="s">
        <v>85</v>
      </c>
    </row>
    <row r="84" spans="1:5" x14ac:dyDescent="0.25">
      <c r="A84" t="s">
        <v>84</v>
      </c>
      <c r="B84">
        <v>83</v>
      </c>
      <c r="C84">
        <v>128</v>
      </c>
      <c r="D84">
        <v>2</v>
      </c>
      <c r="E84" t="s">
        <v>85</v>
      </c>
    </row>
    <row r="85" spans="1:5" x14ac:dyDescent="0.25">
      <c r="A85" t="s">
        <v>84</v>
      </c>
      <c r="B85">
        <v>84</v>
      </c>
      <c r="C85">
        <v>125.09</v>
      </c>
      <c r="D85">
        <v>2</v>
      </c>
      <c r="E85" t="s">
        <v>85</v>
      </c>
    </row>
    <row r="86" spans="1:5" x14ac:dyDescent="0.25">
      <c r="A86" t="s">
        <v>84</v>
      </c>
      <c r="B86">
        <v>85</v>
      </c>
      <c r="C86">
        <v>117</v>
      </c>
      <c r="D86">
        <v>0.1</v>
      </c>
      <c r="E86" t="s">
        <v>85</v>
      </c>
    </row>
    <row r="87" spans="1:5" x14ac:dyDescent="0.25">
      <c r="A87" t="s">
        <v>84</v>
      </c>
      <c r="B87">
        <v>86</v>
      </c>
      <c r="C87">
        <v>112.52</v>
      </c>
      <c r="D87">
        <v>2</v>
      </c>
      <c r="E87" t="s">
        <v>85</v>
      </c>
    </row>
    <row r="88" spans="1:5" x14ac:dyDescent="0.25">
      <c r="A88" t="s">
        <v>84</v>
      </c>
      <c r="B88">
        <v>87</v>
      </c>
      <c r="C88">
        <v>103</v>
      </c>
      <c r="D88">
        <v>2</v>
      </c>
      <c r="E88" t="s">
        <v>85</v>
      </c>
    </row>
    <row r="89" spans="1:5" x14ac:dyDescent="0.25">
      <c r="A89" t="s">
        <v>84</v>
      </c>
      <c r="B89">
        <v>88</v>
      </c>
      <c r="C89">
        <v>100.67</v>
      </c>
      <c r="D89">
        <v>2</v>
      </c>
      <c r="E89" t="s">
        <v>85</v>
      </c>
    </row>
    <row r="90" spans="1:5" x14ac:dyDescent="0.25">
      <c r="A90" t="s">
        <v>84</v>
      </c>
      <c r="B90">
        <v>89</v>
      </c>
      <c r="C90">
        <v>101</v>
      </c>
      <c r="D90">
        <v>2</v>
      </c>
      <c r="E90" t="s">
        <v>85</v>
      </c>
    </row>
    <row r="91" spans="1:5" x14ac:dyDescent="0.25">
      <c r="A91" t="s">
        <v>84</v>
      </c>
      <c r="B91">
        <v>90</v>
      </c>
      <c r="C91">
        <v>100.84</v>
      </c>
      <c r="D91">
        <v>2</v>
      </c>
      <c r="E91" t="s">
        <v>85</v>
      </c>
    </row>
    <row r="92" spans="1:5" x14ac:dyDescent="0.25">
      <c r="A92" t="s">
        <v>84</v>
      </c>
      <c r="B92">
        <v>91</v>
      </c>
      <c r="C92">
        <v>98.66</v>
      </c>
      <c r="D92">
        <v>2</v>
      </c>
      <c r="E92" t="s">
        <v>85</v>
      </c>
    </row>
    <row r="93" spans="1:5" x14ac:dyDescent="0.25">
      <c r="A93" t="s">
        <v>84</v>
      </c>
      <c r="B93">
        <v>92</v>
      </c>
      <c r="C93">
        <v>98.66</v>
      </c>
      <c r="D93">
        <v>2</v>
      </c>
      <c r="E93" t="s">
        <v>85</v>
      </c>
    </row>
    <row r="94" spans="1:5" x14ac:dyDescent="0.25">
      <c r="A94" t="s">
        <v>84</v>
      </c>
      <c r="B94">
        <v>93</v>
      </c>
      <c r="C94">
        <v>103.76</v>
      </c>
      <c r="D94">
        <v>2</v>
      </c>
      <c r="E94" t="s">
        <v>85</v>
      </c>
    </row>
    <row r="95" spans="1:5" x14ac:dyDescent="0.25">
      <c r="A95" t="s">
        <v>84</v>
      </c>
      <c r="B95">
        <v>94</v>
      </c>
      <c r="C95">
        <v>101</v>
      </c>
      <c r="D95">
        <v>2</v>
      </c>
      <c r="E95" t="s">
        <v>85</v>
      </c>
    </row>
    <row r="96" spans="1:5" x14ac:dyDescent="0.25">
      <c r="A96" t="s">
        <v>84</v>
      </c>
      <c r="B96">
        <v>95</v>
      </c>
      <c r="C96">
        <v>98</v>
      </c>
      <c r="D96">
        <v>2</v>
      </c>
      <c r="E96" t="s">
        <v>85</v>
      </c>
    </row>
    <row r="97" spans="1:5" x14ac:dyDescent="0.25">
      <c r="A97" t="s">
        <v>84</v>
      </c>
      <c r="B97">
        <v>96</v>
      </c>
      <c r="C97">
        <v>93.92</v>
      </c>
      <c r="D97">
        <v>2</v>
      </c>
      <c r="E97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Send Bids</vt:lpstr>
      <vt:lpstr>Prices</vt:lpstr>
      <vt:lpstr>BIDS</vt:lpstr>
      <vt:lpstr>MI1</vt:lpstr>
      <vt:lpstr>NORD-1</vt:lpstr>
      <vt:lpstr>NORD-2</vt:lpstr>
      <vt:lpstr>NORD-3</vt:lpstr>
      <vt:lpstr>NORD-4</vt:lpstr>
      <vt:lpstr>CSUD-1</vt:lpstr>
      <vt:lpstr>CSUD-2</vt:lpstr>
      <vt:lpstr>CSUD-3</vt:lpstr>
      <vt:lpstr>CSUD-4</vt:lpstr>
      <vt:lpstr>SUD-1</vt:lpstr>
      <vt:lpstr>SUD-2</vt:lpstr>
      <vt:lpstr>SUD-3</vt:lpstr>
      <vt:lpstr>SUD-4</vt:lpstr>
      <vt:lpstr>SICI-1</vt:lpstr>
      <vt:lpstr>SICI-2</vt:lpstr>
      <vt:lpstr>SICI-3</vt:lpstr>
      <vt:lpstr>SICI-4</vt:lpstr>
      <vt:lpstr>CNOR-1</vt:lpstr>
      <vt:lpstr>CNOR-2</vt:lpstr>
      <vt:lpstr>CNOR-3</vt:lpstr>
      <vt:lpstr>CNOR-4</vt:lpstr>
      <vt:lpstr>CALA-1</vt:lpstr>
      <vt:lpstr>CALA-2</vt:lpstr>
      <vt:lpstr>CALA-3</vt:lpstr>
      <vt:lpstr>SARD-1</vt:lpstr>
      <vt:lpstr>SARD-2</vt:lpstr>
      <vt:lpstr>SARD-3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Bellomi</dc:creator>
  <cp:lastModifiedBy>Luca Bellomi</cp:lastModifiedBy>
  <dcterms:created xsi:type="dcterms:W3CDTF">2015-06-05T18:19:34Z</dcterms:created>
  <dcterms:modified xsi:type="dcterms:W3CDTF">2025-10-10T11:27:55Z</dcterms:modified>
</cp:coreProperties>
</file>